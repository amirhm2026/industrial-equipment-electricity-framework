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student\Desktop\Equipment Inventory\July 18\"/>
    </mc:Choice>
  </mc:AlternateContent>
  <xr:revisionPtr revIDLastSave="0" documentId="13_ncr:1_{D902138C-7DF0-4B30-A1E1-C3B62ABE5B0C}" xr6:coauthVersionLast="47" xr6:coauthVersionMax="47" xr10:uidLastSave="{00000000-0000-0000-0000-000000000000}"/>
  <bookViews>
    <workbookView xWindow="-108" yWindow="-108" windowWidth="23256" windowHeight="12456" activeTab="2" xr2:uid="{76A00C1B-EEC2-4D35-B99C-7ACBD3DC116E}"/>
  </bookViews>
  <sheets>
    <sheet name="Agitated Tanks" sheetId="1" r:id="rId1"/>
    <sheet name="Mixers" sheetId="2" r:id="rId2"/>
    <sheet name="Filtration Units" sheetId="3" r:id="rId3"/>
    <sheet name="Dryers" sheetId="4" r:id="rId4"/>
    <sheet name="Rotary Kilns" sheetId="5" r:id="rId5"/>
  </sheets>
  <definedNames>
    <definedName name="_xlnm._FilterDatabase" localSheetId="1" hidden="1">Mixers!#REF!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8" i="3" l="1"/>
  <c r="N88" i="3"/>
  <c r="N113" i="3"/>
  <c r="P78" i="3"/>
  <c r="N78" i="3"/>
  <c r="P74" i="3"/>
  <c r="N74" i="3"/>
  <c r="P129" i="3"/>
  <c r="N129" i="3"/>
  <c r="P115" i="3"/>
  <c r="N115" i="3"/>
  <c r="P86" i="3"/>
  <c r="N86" i="3"/>
  <c r="N130" i="3"/>
  <c r="N114" i="3"/>
  <c r="N128" i="3"/>
  <c r="P123" i="3"/>
  <c r="N123" i="3"/>
  <c r="P77" i="3"/>
  <c r="N77" i="3"/>
  <c r="P73" i="3"/>
  <c r="N73" i="3"/>
  <c r="P122" i="3"/>
  <c r="N122" i="3"/>
  <c r="R84" i="3"/>
  <c r="N84" i="3"/>
  <c r="P118" i="3"/>
  <c r="N118" i="3"/>
  <c r="P89" i="3"/>
  <c r="N89" i="3"/>
  <c r="P76" i="3"/>
  <c r="N76" i="3"/>
  <c r="N82" i="3"/>
  <c r="P131" i="3"/>
  <c r="N131" i="3"/>
  <c r="N80" i="3"/>
  <c r="P125" i="3"/>
  <c r="N125" i="3"/>
  <c r="N81" i="3"/>
  <c r="R120" i="3"/>
  <c r="P120" i="3"/>
  <c r="N120" i="3"/>
  <c r="N124" i="3"/>
  <c r="P79" i="3"/>
  <c r="N79" i="3"/>
  <c r="L110" i="3"/>
  <c r="L108" i="3"/>
  <c r="L63" i="3"/>
  <c r="L3" i="3"/>
  <c r="L2" i="3"/>
  <c r="H11" i="3"/>
  <c r="J2" i="3"/>
  <c r="H2" i="3"/>
  <c r="N3" i="3"/>
  <c r="P111" i="4" l="1"/>
  <c r="N111" i="4"/>
  <c r="P110" i="4"/>
  <c r="N110" i="4"/>
  <c r="P109" i="4"/>
  <c r="N109" i="4"/>
  <c r="P108" i="4"/>
  <c r="N108" i="4"/>
  <c r="P107" i="4"/>
  <c r="N107" i="4"/>
  <c r="P106" i="4"/>
  <c r="N106" i="4"/>
  <c r="N105" i="4"/>
  <c r="P105" i="4"/>
  <c r="N153" i="3"/>
  <c r="H153" i="3"/>
  <c r="N152" i="3"/>
  <c r="H152" i="3"/>
  <c r="N151" i="3"/>
  <c r="H151" i="3"/>
  <c r="N150" i="3"/>
  <c r="H150" i="3"/>
  <c r="N149" i="3"/>
  <c r="H149" i="3"/>
  <c r="N148" i="3"/>
  <c r="H148" i="3"/>
  <c r="N147" i="3"/>
  <c r="N146" i="3"/>
  <c r="N145" i="3"/>
  <c r="N144" i="3"/>
  <c r="N143" i="3"/>
  <c r="N142" i="3"/>
  <c r="H142" i="3"/>
  <c r="N141" i="3"/>
  <c r="N140" i="3"/>
  <c r="N139" i="3"/>
  <c r="L138" i="3"/>
  <c r="H138" i="3"/>
  <c r="N137" i="3"/>
  <c r="H107" i="3"/>
  <c r="N136" i="3"/>
  <c r="N135" i="3"/>
  <c r="N134" i="3"/>
  <c r="H133" i="3"/>
  <c r="N132" i="3"/>
  <c r="H132" i="3"/>
  <c r="N127" i="3"/>
  <c r="N121" i="3"/>
  <c r="N119" i="3"/>
  <c r="N117" i="3"/>
  <c r="N110" i="3"/>
  <c r="N109" i="3"/>
  <c r="N108" i="3"/>
  <c r="H108" i="3"/>
  <c r="N106" i="3"/>
  <c r="N105" i="3"/>
  <c r="N104" i="3"/>
  <c r="N103" i="3"/>
  <c r="N102" i="3"/>
  <c r="N101" i="3"/>
  <c r="N100" i="3"/>
  <c r="N99" i="3"/>
  <c r="H99" i="3"/>
  <c r="N98" i="3"/>
  <c r="H98" i="3"/>
  <c r="H97" i="3"/>
  <c r="N97" i="3"/>
  <c r="N96" i="3"/>
  <c r="N95" i="3"/>
  <c r="N94" i="3"/>
  <c r="N93" i="3"/>
  <c r="N92" i="3"/>
  <c r="N91" i="3"/>
  <c r="N90" i="3"/>
  <c r="N83" i="3"/>
</calcChain>
</file>

<file path=xl/sharedStrings.xml><?xml version="1.0" encoding="utf-8"?>
<sst xmlns="http://schemas.openxmlformats.org/spreadsheetml/2006/main" count="11215" uniqueCount="1321">
  <si>
    <t>Listing ID</t>
  </si>
  <si>
    <t>Tank Full Volume</t>
  </si>
  <si>
    <t>Unit</t>
  </si>
  <si>
    <t>Tank Rated Volume</t>
  </si>
  <si>
    <t>Motor Power</t>
  </si>
  <si>
    <t>Motor Efficiency (NEMA EFF) %</t>
  </si>
  <si>
    <t>Shaft Rotational Speed</t>
  </si>
  <si>
    <t>Tank Geometry</t>
  </si>
  <si>
    <t>Material of Construction:
Tank Shell</t>
  </si>
  <si>
    <t>Agitator Type</t>
  </si>
  <si>
    <t>#S633150</t>
  </si>
  <si>
    <t>Gallons</t>
  </si>
  <si>
    <t>hp</t>
  </si>
  <si>
    <t>NM</t>
  </si>
  <si>
    <t>NA</t>
  </si>
  <si>
    <t>Cylinder</t>
  </si>
  <si>
    <t>Glass-lined</t>
  </si>
  <si>
    <t>3-blade retreating curve</t>
  </si>
  <si>
    <t>#C636125</t>
  </si>
  <si>
    <t>#S636815</t>
  </si>
  <si>
    <t>-</t>
  </si>
  <si>
    <t>#S738402</t>
  </si>
  <si>
    <t>#S736048</t>
  </si>
  <si>
    <t>rpm</t>
  </si>
  <si>
    <t>Glass-lined, type 3008</t>
  </si>
  <si>
    <t>#C732378</t>
  </si>
  <si>
    <t>Glass-lined, type 9115 - CS</t>
  </si>
  <si>
    <t>#C742758</t>
  </si>
  <si>
    <t>#S738230</t>
  </si>
  <si>
    <t>#S744733</t>
  </si>
  <si>
    <t>Glass-lined, type 3009</t>
  </si>
  <si>
    <t>(uncertain) retreating curve</t>
  </si>
  <si>
    <t>#S641545</t>
  </si>
  <si>
    <t>18-blade Rushton turbine</t>
  </si>
  <si>
    <t>#S745445</t>
  </si>
  <si>
    <t>Inconel, N06022</t>
  </si>
  <si>
    <t>Lightnin hydrofoil</t>
  </si>
  <si>
    <t>#C636701</t>
  </si>
  <si>
    <t>Monel 400</t>
  </si>
  <si>
    <t>#C638515</t>
  </si>
  <si>
    <t>Double conical</t>
  </si>
  <si>
    <t>CS</t>
  </si>
  <si>
    <t>#L743663</t>
  </si>
  <si>
    <t>45 - 68</t>
  </si>
  <si>
    <t>316 SS</t>
  </si>
  <si>
    <t>4-blade pitched-blade</t>
  </si>
  <si>
    <t>#C636375</t>
  </si>
  <si>
    <t>304L SS</t>
  </si>
  <si>
    <t>4-blade flat blade</t>
  </si>
  <si>
    <t>#S736726</t>
  </si>
  <si>
    <t>anchor</t>
  </si>
  <si>
    <t>#S739749</t>
  </si>
  <si>
    <t>304 SS</t>
  </si>
  <si>
    <t>sweep/scrape agitator</t>
  </si>
  <si>
    <t>#S737963</t>
  </si>
  <si>
    <t>316L SS</t>
  </si>
  <si>
    <t>#S737599</t>
  </si>
  <si>
    <t>(2) paddle blades</t>
  </si>
  <si>
    <t>#S737600</t>
  </si>
  <si>
    <t>#S742518</t>
  </si>
  <si>
    <t>20 - 60</t>
  </si>
  <si>
    <t>SS</t>
  </si>
  <si>
    <t>#S739750</t>
  </si>
  <si>
    <t>15 - 150</t>
  </si>
  <si>
    <t>#S737601</t>
  </si>
  <si>
    <t>paddle blades</t>
  </si>
  <si>
    <t>#S737602</t>
  </si>
  <si>
    <t>#S745440</t>
  </si>
  <si>
    <t>#S742356</t>
  </si>
  <si>
    <t>15 - 190</t>
  </si>
  <si>
    <t>#S745437
#S745438</t>
  </si>
  <si>
    <t>#A744105</t>
  </si>
  <si>
    <t>(2) 3-blade marine propellers</t>
  </si>
  <si>
    <t>#S745436</t>
  </si>
  <si>
    <t>88 - 350</t>
  </si>
  <si>
    <t>S31803 SS</t>
  </si>
  <si>
    <t>#S741359</t>
  </si>
  <si>
    <t>(2) 4-blade Rushton turbine</t>
  </si>
  <si>
    <t>#H733038</t>
  </si>
  <si>
    <t>(3) 6-blade Rushton turbine</t>
  </si>
  <si>
    <t>#A742363</t>
  </si>
  <si>
    <t>#H733036</t>
  </si>
  <si>
    <t>#Z641525</t>
  </si>
  <si>
    <t>Trailing turbine disk</t>
  </si>
  <si>
    <t>#H733037</t>
  </si>
  <si>
    <t>#S742710</t>
  </si>
  <si>
    <t>#5990948</t>
  </si>
  <si>
    <t>3-blade marine propeller</t>
  </si>
  <si>
    <t>#S745312</t>
  </si>
  <si>
    <t>(2) 4-blade flat blades</t>
  </si>
  <si>
    <t>#S745309</t>
  </si>
  <si>
    <t>#C743869</t>
  </si>
  <si>
    <t>Cubic</t>
  </si>
  <si>
    <t>#S745319</t>
  </si>
  <si>
    <t>#S745055</t>
  </si>
  <si>
    <t>Cylinder with a bottom cone</t>
  </si>
  <si>
    <t>#S745314</t>
  </si>
  <si>
    <t>#S744961</t>
  </si>
  <si>
    <t>#Z689895</t>
  </si>
  <si>
    <t>#S745307</t>
  </si>
  <si>
    <t>Cylinder, cones top and bottom</t>
  </si>
  <si>
    <t>#S745308</t>
  </si>
  <si>
    <t>Cylinder,  cone top, sloped bottom.</t>
  </si>
  <si>
    <t>#Z690000</t>
  </si>
  <si>
    <t>#S745165</t>
  </si>
  <si>
    <t>#C745000</t>
  </si>
  <si>
    <t>Rotary rake</t>
  </si>
  <si>
    <t>#S740387</t>
  </si>
  <si>
    <t>#S734069</t>
  </si>
  <si>
    <t>#S745254</t>
  </si>
  <si>
    <t>Cylinder, bottom cone</t>
  </si>
  <si>
    <t>#S745050</t>
  </si>
  <si>
    <t>(3) paddle blades</t>
  </si>
  <si>
    <t>#S745322</t>
  </si>
  <si>
    <t>(3) 4-blade pitched-blade</t>
  </si>
  <si>
    <t>#S744586</t>
  </si>
  <si>
    <t>#S745267
#S745268</t>
  </si>
  <si>
    <t>2-blade flat paddle</t>
  </si>
  <si>
    <t>#S735143</t>
  </si>
  <si>
    <t>#C735196</t>
  </si>
  <si>
    <t>#5762891</t>
  </si>
  <si>
    <t>#C691780</t>
  </si>
  <si>
    <t>#Z691880</t>
  </si>
  <si>
    <t>(2) 6-blade retreating curve</t>
  </si>
  <si>
    <t>#59911621</t>
  </si>
  <si>
    <t>#C743304</t>
  </si>
  <si>
    <t>#S743950</t>
  </si>
  <si>
    <t>#S733933</t>
  </si>
  <si>
    <t>#S742975</t>
  </si>
  <si>
    <t>#S745371</t>
  </si>
  <si>
    <t>#S743955</t>
  </si>
  <si>
    <t>#5991050</t>
  </si>
  <si>
    <t>#S735013</t>
  </si>
  <si>
    <t>#S744703</t>
  </si>
  <si>
    <t>4-blade flat blade &amp; 4-blade pitched-blade</t>
  </si>
  <si>
    <t>#5991203</t>
  </si>
  <si>
    <t>S31803/S32205 SS</t>
  </si>
  <si>
    <t>#C695168</t>
  </si>
  <si>
    <t>#S745368</t>
  </si>
  <si>
    <t>#S741944</t>
  </si>
  <si>
    <t>#S743429</t>
  </si>
  <si>
    <t>#C695236</t>
  </si>
  <si>
    <t>#5991195</t>
  </si>
  <si>
    <t>Inconel, N06622</t>
  </si>
  <si>
    <t>#C698525</t>
  </si>
  <si>
    <t>Aluminum</t>
  </si>
  <si>
    <t>spiral scrape surface  blade</t>
  </si>
  <si>
    <t>#S740366</t>
  </si>
  <si>
    <t>#S742854</t>
  </si>
  <si>
    <t>#S740374
#S740375</t>
  </si>
  <si>
    <t>#S742767</t>
  </si>
  <si>
    <t>4-blade flat blades</t>
  </si>
  <si>
    <t>#4333867</t>
  </si>
  <si>
    <t>(2) Lightnin hydrofoil</t>
  </si>
  <si>
    <t>#5991018</t>
  </si>
  <si>
    <t>#S745049</t>
  </si>
  <si>
    <t>(3) 2-blade wide sweep paddles</t>
  </si>
  <si>
    <t>#5991049</t>
  </si>
  <si>
    <t>#S744217</t>
  </si>
  <si>
    <t>317 SS</t>
  </si>
  <si>
    <t>#S694111</t>
  </si>
  <si>
    <t xml:space="preserve">Cubic - twin compartment </t>
  </si>
  <si>
    <t>#S739917</t>
  </si>
  <si>
    <t>#L742519</t>
  </si>
  <si>
    <t>#S745432</t>
  </si>
  <si>
    <t>cylinder</t>
  </si>
  <si>
    <t>#C693495</t>
  </si>
  <si>
    <t xml:space="preserve"> #S744979</t>
  </si>
  <si>
    <t>#S744970
#S744976</t>
  </si>
  <si>
    <t>#C693160</t>
  </si>
  <si>
    <t>#C740621</t>
  </si>
  <si>
    <t>#S694027</t>
  </si>
  <si>
    <t>#S742662</t>
  </si>
  <si>
    <t>#S745084</t>
  </si>
  <si>
    <t>Cylinder with a dish bottom</t>
  </si>
  <si>
    <t>#S743002</t>
  </si>
  <si>
    <t>Plastic</t>
  </si>
  <si>
    <t>#S739052</t>
  </si>
  <si>
    <t>#S742128</t>
  </si>
  <si>
    <t>#S742688</t>
  </si>
  <si>
    <t>sawtooth cutting blades</t>
  </si>
  <si>
    <t>XB-10×10</t>
  </si>
  <si>
    <t xml:space="preserve">XB-12×12	</t>
  </si>
  <si>
    <t>XB-15×15</t>
  </si>
  <si>
    <t xml:space="preserve">XB-20×20	</t>
  </si>
  <si>
    <t xml:space="preserve">XB-25×25	</t>
  </si>
  <si>
    <t xml:space="preserve">XB-30×30	</t>
  </si>
  <si>
    <t xml:space="preserve">XB-35×35	</t>
  </si>
  <si>
    <t xml:space="preserve">XB-40×40	</t>
  </si>
  <si>
    <t>XBT-10×15</t>
  </si>
  <si>
    <t xml:space="preserve">XBT-15×20	</t>
  </si>
  <si>
    <t xml:space="preserve">XBT-20×20	</t>
  </si>
  <si>
    <t xml:space="preserve">XF-20×20	</t>
  </si>
  <si>
    <t>XF-25×30</t>
  </si>
  <si>
    <t>XF-30×30</t>
  </si>
  <si>
    <t xml:space="preserve">XF-35×40	</t>
  </si>
  <si>
    <t xml:space="preserve">XF-40×45	</t>
  </si>
  <si>
    <t xml:space="preserve">XF-45×50	</t>
  </si>
  <si>
    <t xml:space="preserve">XF-50×56	</t>
  </si>
  <si>
    <t xml:space="preserve">XF-55×60	</t>
  </si>
  <si>
    <t>100 Gallon Mixing Tank</t>
  </si>
  <si>
    <t>SS 304/ SS 316L</t>
  </si>
  <si>
    <t>1000 Gallon Mixing Tank</t>
  </si>
  <si>
    <t>20 - 80</t>
  </si>
  <si>
    <t>Anchor with Scraper</t>
  </si>
  <si>
    <t>500 Gallon Mixing Tank</t>
  </si>
  <si>
    <t>Agitator Mixing Tank 500 Ltr</t>
  </si>
  <si>
    <t>36 - 200</t>
  </si>
  <si>
    <t>Chemical Mixing Tank 1000 Ltr</t>
  </si>
  <si>
    <t>20 - 1440</t>
  </si>
  <si>
    <t>Industrial Mixing Tank</t>
  </si>
  <si>
    <t>100-300</t>
  </si>
  <si>
    <t>Mixing Tank With Bottom Entry Homogenizer</t>
  </si>
  <si>
    <t>0 - 65</t>
  </si>
  <si>
    <t>0 - 53</t>
  </si>
  <si>
    <t>0 - 42</t>
  </si>
  <si>
    <t>PGR-2</t>
  </si>
  <si>
    <t>50-800</t>
  </si>
  <si>
    <t>Borosilicate Glass</t>
  </si>
  <si>
    <t>PGR-5</t>
  </si>
  <si>
    <t>PGR-10</t>
  </si>
  <si>
    <t>50-600</t>
  </si>
  <si>
    <t>PGR-20</t>
  </si>
  <si>
    <t>PGR-30</t>
  </si>
  <si>
    <t>PRG-50</t>
  </si>
  <si>
    <t>PRG-100</t>
  </si>
  <si>
    <t xml:space="preserve">- </t>
  </si>
  <si>
    <t>References</t>
  </si>
  <si>
    <t>https://www.machineryandequipment.com/</t>
  </si>
  <si>
    <t>1 - 107</t>
  </si>
  <si>
    <t>https://www.zoneding.com/mixer.html</t>
  </si>
  <si>
    <t>108 - 126</t>
  </si>
  <si>
    <t>https://www.jskengitech.com/</t>
  </si>
  <si>
    <t>127 - 146</t>
  </si>
  <si>
    <t>https://www.chinaspraydryer.com/</t>
  </si>
  <si>
    <t>147 - 153</t>
  </si>
  <si>
    <t>Entry No.</t>
  </si>
  <si>
    <t>Ref No.</t>
  </si>
  <si>
    <t>Agitated Tanks</t>
  </si>
  <si>
    <t>Mixer Full Volume</t>
  </si>
  <si>
    <t>Mixer Rated Volume</t>
  </si>
  <si>
    <t>Material of Construction: Tank Shell</t>
  </si>
  <si>
    <t>#A742603</t>
  </si>
  <si>
    <t>Double Cone Mixers</t>
  </si>
  <si>
    <t>#S530030</t>
  </si>
  <si>
    <t>#S741455</t>
  </si>
  <si>
    <t>#S738049</t>
  </si>
  <si>
    <t>(looks like) dispersion mixer</t>
  </si>
  <si>
    <t>#S743985</t>
  </si>
  <si>
    <t>3D Drum Mixers</t>
  </si>
  <si>
    <t>#S530260</t>
  </si>
  <si>
    <t>Teflon-lined</t>
  </si>
  <si>
    <t>#C734672</t>
  </si>
  <si>
    <t>bar?</t>
  </si>
  <si>
    <t>#S735828</t>
  </si>
  <si>
    <t>(3) dispersion type blades</t>
  </si>
  <si>
    <t>#Z532273</t>
  </si>
  <si>
    <t>#C743241</t>
  </si>
  <si>
    <t>Horizontal Ribbon Mixers</t>
  </si>
  <si>
    <t>SS and CS</t>
  </si>
  <si>
    <t>double ribbon mixer</t>
  </si>
  <si>
    <t>#S742491</t>
  </si>
  <si>
    <t>#S744844</t>
  </si>
  <si>
    <t>Nauta Mixers</t>
  </si>
  <si>
    <t>auger</t>
  </si>
  <si>
    <t>#S736259</t>
  </si>
  <si>
    <t>auger (screw)</t>
  </si>
  <si>
    <t>#S736258</t>
  </si>
  <si>
    <t>#S744367</t>
  </si>
  <si>
    <t>Mild Steel</t>
  </si>
  <si>
    <t>arm and screw</t>
  </si>
  <si>
    <t>#5991223</t>
  </si>
  <si>
    <t>#4908271</t>
  </si>
  <si>
    <t>#H736823</t>
  </si>
  <si>
    <t>#S745353</t>
  </si>
  <si>
    <t>#H739935 #H731072</t>
  </si>
  <si>
    <t>#A744840</t>
  </si>
  <si>
    <t>#H735746</t>
  </si>
  <si>
    <t>#S744804</t>
  </si>
  <si>
    <t>#H733729</t>
  </si>
  <si>
    <t>#H731071</t>
  </si>
  <si>
    <t>#S744098</t>
  </si>
  <si>
    <t>#C743575</t>
  </si>
  <si>
    <t>#H731069</t>
  </si>
  <si>
    <t>#5512913</t>
  </si>
  <si>
    <t>T-305 SS</t>
  </si>
  <si>
    <t>#5512914</t>
  </si>
  <si>
    <t>#D737105</t>
  </si>
  <si>
    <t>ribbon</t>
  </si>
  <si>
    <t>#5674434</t>
  </si>
  <si>
    <t>#5512916</t>
  </si>
  <si>
    <t>#S742904</t>
  </si>
  <si>
    <t>#S741694</t>
  </si>
  <si>
    <t>#5512898</t>
  </si>
  <si>
    <t>T-304 SS</t>
  </si>
  <si>
    <t>#H736968</t>
  </si>
  <si>
    <t>#5512857</t>
  </si>
  <si>
    <t>#5991132</t>
  </si>
  <si>
    <t>#5991142</t>
  </si>
  <si>
    <t>#H731066</t>
  </si>
  <si>
    <t>#5512763</t>
  </si>
  <si>
    <t>#H736047</t>
  </si>
  <si>
    <t>#5554503</t>
  </si>
  <si>
    <t>double ribbon</t>
  </si>
  <si>
    <t>#5861443</t>
  </si>
  <si>
    <t>#5991167</t>
  </si>
  <si>
    <t>#H737140</t>
  </si>
  <si>
    <t xml:space="preserve">double ribbon </t>
  </si>
  <si>
    <t>#4679809</t>
  </si>
  <si>
    <t>#C735198</t>
  </si>
  <si>
    <t>#5130353</t>
  </si>
  <si>
    <t xml:space="preserve">ribbon/paddle </t>
  </si>
  <si>
    <t>#S739489</t>
  </si>
  <si>
    <t>#4664144</t>
  </si>
  <si>
    <t>#S745504</t>
  </si>
  <si>
    <t>#H731062</t>
  </si>
  <si>
    <t>#4679790</t>
  </si>
  <si>
    <t>#4679753</t>
  </si>
  <si>
    <t>#S745503</t>
  </si>
  <si>
    <t>#4678439</t>
  </si>
  <si>
    <t>#H733850</t>
  </si>
  <si>
    <t xml:space="preserve">304 SS </t>
  </si>
  <si>
    <t>#H733613</t>
  </si>
  <si>
    <t>PNA-50</t>
  </si>
  <si>
    <t>screw</t>
  </si>
  <si>
    <t>PNA-100</t>
  </si>
  <si>
    <t>PNA-200</t>
  </si>
  <si>
    <t>PNA-300</t>
  </si>
  <si>
    <t>PNA-500</t>
  </si>
  <si>
    <t>PNA-800</t>
  </si>
  <si>
    <t>PNA-1000</t>
  </si>
  <si>
    <t>PNA-1500</t>
  </si>
  <si>
    <t>PNA-2000</t>
  </si>
  <si>
    <t>PNA-2500</t>
  </si>
  <si>
    <t>PNA-3000</t>
  </si>
  <si>
    <t>PNA-4000</t>
  </si>
  <si>
    <t>PNA-5000</t>
  </si>
  <si>
    <t>PNA-6000</t>
  </si>
  <si>
    <t>PNA-8000</t>
  </si>
  <si>
    <t>PNA-10000</t>
  </si>
  <si>
    <t>PVM-5</t>
  </si>
  <si>
    <t>V-Blender Mixers</t>
  </si>
  <si>
    <t>PVM-15</t>
  </si>
  <si>
    <t>PVM-45</t>
  </si>
  <si>
    <t>PVM-100</t>
  </si>
  <si>
    <t>PVM-200</t>
  </si>
  <si>
    <t>PVM-300</t>
  </si>
  <si>
    <t>PVM-500</t>
  </si>
  <si>
    <t>PVM-700</t>
  </si>
  <si>
    <t>PVM-1000</t>
  </si>
  <si>
    <t>PVM-2000</t>
  </si>
  <si>
    <t>PVM-3000</t>
  </si>
  <si>
    <t>PVM-4000</t>
  </si>
  <si>
    <t>PVM-5000</t>
  </si>
  <si>
    <t>PTU-5</t>
  </si>
  <si>
    <t>PTU-15</t>
  </si>
  <si>
    <t>PTU-50</t>
  </si>
  <si>
    <t>PTU-100</t>
  </si>
  <si>
    <t>PTU-300</t>
  </si>
  <si>
    <t>PAM-30</t>
  </si>
  <si>
    <t>Vertical Ribbon Mixers</t>
  </si>
  <si>
    <t>PAM-50</t>
  </si>
  <si>
    <t>PAM-100</t>
  </si>
  <si>
    <t>PAM-200</t>
  </si>
  <si>
    <t>PAM-300</t>
  </si>
  <si>
    <t>PAM-500</t>
  </si>
  <si>
    <t>PAM-750</t>
  </si>
  <si>
    <t>PAM-1000</t>
  </si>
  <si>
    <t>PAM-1500</t>
  </si>
  <si>
    <t>PAM-2000</t>
  </si>
  <si>
    <t>PAM-3000</t>
  </si>
  <si>
    <t>PAM-4000</t>
  </si>
  <si>
    <t>PAM-5000</t>
  </si>
  <si>
    <t>PAM-6000</t>
  </si>
  <si>
    <t>PAM-8000</t>
  </si>
  <si>
    <t>PAM-10000</t>
  </si>
  <si>
    <t>PAM-12000</t>
  </si>
  <si>
    <t>PAM-15000</t>
  </si>
  <si>
    <t>Hosokawa Nauta Mixer 500 L</t>
  </si>
  <si>
    <t>Hosokawa Nauta Mixer 1000 L</t>
  </si>
  <si>
    <t>Hosokawa Nauta Mixer 2000 L</t>
  </si>
  <si>
    <t>Hosokawa Nauta Mixer 5000 L</t>
  </si>
  <si>
    <t>Hosokawa Nauta Mixer 10000 L</t>
  </si>
  <si>
    <t>Hosokawa Nauta Mixer 20000 L</t>
  </si>
  <si>
    <t>Hosokawa Nauta Mixer 50000 L</t>
  </si>
  <si>
    <t>Hosokawa Nauta Mixer 100000 L</t>
  </si>
  <si>
    <t>VRB-0.1m³</t>
  </si>
  <si>
    <t>VRB-0.3m³</t>
  </si>
  <si>
    <t>VRB-0.5m³</t>
  </si>
  <si>
    <t>VRB-1m³</t>
  </si>
  <si>
    <t>VRB-1.5m³</t>
  </si>
  <si>
    <t>VRB-2m³</t>
  </si>
  <si>
    <t>VRB-3m³</t>
  </si>
  <si>
    <t>VRB-4m³</t>
  </si>
  <si>
    <t>VRB-5m³</t>
  </si>
  <si>
    <t>VRB-6m³</t>
  </si>
  <si>
    <t>VRB-8m³</t>
  </si>
  <si>
    <t>VRB-10m³</t>
  </si>
  <si>
    <t>VRB-12m³</t>
  </si>
  <si>
    <t>VRB-15m³</t>
  </si>
  <si>
    <t>VRB-20m³</t>
  </si>
  <si>
    <t>VMS100</t>
  </si>
  <si>
    <t>VMS300</t>
  </si>
  <si>
    <t>Helical blades</t>
  </si>
  <si>
    <t>VMS500</t>
  </si>
  <si>
    <t>VMS1000</t>
  </si>
  <si>
    <t>VMS2000</t>
  </si>
  <si>
    <t>VMS3000</t>
  </si>
  <si>
    <t>VMS5000</t>
  </si>
  <si>
    <t>VMS10000</t>
  </si>
  <si>
    <t>VMS20000</t>
  </si>
  <si>
    <t>VMS28000</t>
  </si>
  <si>
    <t>VMX-50</t>
  </si>
  <si>
    <t>VMX-100</t>
  </si>
  <si>
    <t>VMX-200</t>
  </si>
  <si>
    <t>VMX-400</t>
  </si>
  <si>
    <t>VMX-600</t>
  </si>
  <si>
    <t>VMX-800</t>
  </si>
  <si>
    <t>VMX-1000</t>
  </si>
  <si>
    <t>VMX-2000</t>
  </si>
  <si>
    <t>VMX-3000</t>
  </si>
  <si>
    <t>VM-50V</t>
  </si>
  <si>
    <t>VM-100V</t>
  </si>
  <si>
    <t>VM-200V</t>
  </si>
  <si>
    <t>VM-300V</t>
  </si>
  <si>
    <t>VM-500V</t>
  </si>
  <si>
    <t>VM-1000V</t>
  </si>
  <si>
    <t>VM-1500V</t>
  </si>
  <si>
    <t>VM-2500V</t>
  </si>
  <si>
    <t>VM-4000V</t>
  </si>
  <si>
    <t>VM-6000V</t>
  </si>
  <si>
    <t>005-FFC-50</t>
  </si>
  <si>
    <t>010-FFC-50</t>
  </si>
  <si>
    <t>020-FFC-50</t>
  </si>
  <si>
    <t>SHLD-0.1</t>
  </si>
  <si>
    <t>SHLD-0.2</t>
  </si>
  <si>
    <t>SHLD-0.3</t>
  </si>
  <si>
    <t>SHLD-0.5</t>
  </si>
  <si>
    <t>SHLD-1</t>
  </si>
  <si>
    <t>SHLD-2</t>
  </si>
  <si>
    <t>SHLD-3</t>
  </si>
  <si>
    <t>SHLD-4</t>
  </si>
  <si>
    <t>SHLD-5</t>
  </si>
  <si>
    <t>SHLD-6</t>
  </si>
  <si>
    <t>SHLD-8</t>
  </si>
  <si>
    <t>SHLD-10</t>
  </si>
  <si>
    <t>SHLD-15</t>
  </si>
  <si>
    <t>SHLD-20</t>
  </si>
  <si>
    <t>SHLD-30</t>
  </si>
  <si>
    <t>SVZX-0.1</t>
  </si>
  <si>
    <t>SVZX-0.5</t>
  </si>
  <si>
    <t>SVZX-1</t>
  </si>
  <si>
    <t>SVZX-2</t>
  </si>
  <si>
    <t>SVZX-3</t>
  </si>
  <si>
    <t>SVZX-4</t>
  </si>
  <si>
    <t>SVZX-5</t>
  </si>
  <si>
    <t>SVZX-6</t>
  </si>
  <si>
    <t>SVZX-8</t>
  </si>
  <si>
    <t>SVZX-10</t>
  </si>
  <si>
    <t>SVZX-15</t>
  </si>
  <si>
    <t>SVZX-20</t>
  </si>
  <si>
    <t>SVZX-25</t>
  </si>
  <si>
    <t>SVZX-30</t>
  </si>
  <si>
    <t>SVZL-0.1</t>
  </si>
  <si>
    <t>SVZL-0.3</t>
  </si>
  <si>
    <t>SVZL-0.5</t>
  </si>
  <si>
    <t>SVZL-1</t>
  </si>
  <si>
    <t>SVZL-1.5</t>
  </si>
  <si>
    <t>SVZL-2</t>
  </si>
  <si>
    <t>SVZL-3</t>
  </si>
  <si>
    <t>SVZL-4</t>
  </si>
  <si>
    <t>SVZL-6</t>
  </si>
  <si>
    <t>SVZL-8</t>
  </si>
  <si>
    <t>SVZL-10</t>
  </si>
  <si>
    <t>SVZL-15</t>
  </si>
  <si>
    <t>SHVX-100</t>
  </si>
  <si>
    <t>SHVX-200</t>
  </si>
  <si>
    <t>SHVX-300</t>
  </si>
  <si>
    <t>SHVX-400</t>
  </si>
  <si>
    <t>SHVX-500</t>
  </si>
  <si>
    <t>SHVX-1500</t>
  </si>
  <si>
    <t>SHVX-2000</t>
  </si>
  <si>
    <t>SHVX-2500</t>
  </si>
  <si>
    <t>SHVX-3000</t>
  </si>
  <si>
    <t>SHVX-4000</t>
  </si>
  <si>
    <t>SHHZ-100</t>
  </si>
  <si>
    <t>SHHZ-200</t>
  </si>
  <si>
    <t>SHHZ-300</t>
  </si>
  <si>
    <t>SHHZ-400</t>
  </si>
  <si>
    <t>SHHZ-500</t>
  </si>
  <si>
    <t>SHHZ-1000</t>
  </si>
  <si>
    <t>SHHZ-1500</t>
  </si>
  <si>
    <t>SHHZ-2000</t>
  </si>
  <si>
    <t>SHHZ-2500</t>
  </si>
  <si>
    <t>SHHZ-3000</t>
  </si>
  <si>
    <t>SHHZ-4000</t>
  </si>
  <si>
    <t>SHHZ-6000</t>
  </si>
  <si>
    <t>SHHZ-8000</t>
  </si>
  <si>
    <t>SHYH-1</t>
  </si>
  <si>
    <t>SHYH-50</t>
  </si>
  <si>
    <t>SHYH-100</t>
  </si>
  <si>
    <t>SHYH-200</t>
  </si>
  <si>
    <t>SHYH-400</t>
  </si>
  <si>
    <t>SHYH-600</t>
  </si>
  <si>
    <t>SHYH-800</t>
  </si>
  <si>
    <t>DCB-5 JSKengitech</t>
  </si>
  <si>
    <t>SS 304 / SS 316</t>
  </si>
  <si>
    <t>DCB-10 JSKengitech</t>
  </si>
  <si>
    <t>DCB-25 JSKengitech</t>
  </si>
  <si>
    <t>DCB-50 JSKengitech</t>
  </si>
  <si>
    <t>DCB-100 JSKengitech</t>
  </si>
  <si>
    <t>DCB-150 JSKengitech</t>
  </si>
  <si>
    <t>DCB-200 JSKengitech</t>
  </si>
  <si>
    <t>DCB-250 JSKengitech</t>
  </si>
  <si>
    <t>DCB-300 JSKengitech</t>
  </si>
  <si>
    <t>DCB-400 JSKengitech</t>
  </si>
  <si>
    <t>DCB-500 JSKengitech</t>
  </si>
  <si>
    <t>DCB-650 JSKengitech</t>
  </si>
  <si>
    <t>DCB-750 JSKengitech</t>
  </si>
  <si>
    <t>RM-10 JSKengitech</t>
  </si>
  <si>
    <t>RM-50 JSKengitech</t>
  </si>
  <si>
    <t>RM-75 JSKengitech</t>
  </si>
  <si>
    <t>RM-150 JSKengitech</t>
  </si>
  <si>
    <t>RM-250 JSKengitech</t>
  </si>
  <si>
    <t>RM-450 JSKengitech</t>
  </si>
  <si>
    <t>RM-600 JSKengitech</t>
  </si>
  <si>
    <t>RM-1100 JSKengitech</t>
  </si>
  <si>
    <t>RM-1500 JSKengitech</t>
  </si>
  <si>
    <t>RM-2000 JSKengitech</t>
  </si>
  <si>
    <t>RM-3000 JSKengitech</t>
  </si>
  <si>
    <t>RM-5000 JSKengitech</t>
  </si>
  <si>
    <t>RM-10000 JSKengitech</t>
  </si>
  <si>
    <t>Agitation Power</t>
  </si>
  <si>
    <t>Mixer Rotation Power</t>
  </si>
  <si>
    <t>Total Power</t>
  </si>
  <si>
    <t>1 - 61</t>
  </si>
  <si>
    <t>https://www.permixmixers.com/powder-mixers/permix-conical-mixer/</t>
  </si>
  <si>
    <t>62 - 77</t>
  </si>
  <si>
    <t>https://www.permixmixers.com/powder-mixers/permix-v-blender/</t>
  </si>
  <si>
    <t>78 - 90</t>
  </si>
  <si>
    <t>https://www.permixmixers.com/powder-mixers/permix-3d-mixer/</t>
  </si>
  <si>
    <t>91 - 95</t>
  </si>
  <si>
    <t>https://www.permixmixers.com/powder-mixers/permix-vertical-paddle-mixer/</t>
  </si>
  <si>
    <t>96 - 113</t>
  </si>
  <si>
    <t>https://hosokawa-micron-bv.com/process-solutions/powder-mixers/nauta-conical-screw-mixer</t>
  </si>
  <si>
    <t>114 - 121</t>
  </si>
  <si>
    <t>https://incmachine.com/products/ribbon-blender-mixer/</t>
  </si>
  <si>
    <t>122 - 136</t>
  </si>
  <si>
    <t>https://incmachine.com/products/double-cone-blender/</t>
  </si>
  <si>
    <t>137 - 146</t>
  </si>
  <si>
    <t>https://incmachine.com/products/jhx-double-movement-mixer/</t>
  </si>
  <si>
    <t>147 - 155</t>
  </si>
  <si>
    <t>https://incmachine.com/products/v-type-blender/</t>
  </si>
  <si>
    <t>156 - 165</t>
  </si>
  <si>
    <t>https://hosokawa-micron-bv.com/process-solutions/lab-equipment/nauta-minimix</t>
  </si>
  <si>
    <t>166 - 168</t>
  </si>
  <si>
    <t>https://www.sieheindustry.com/product_detail/horizontal-ribbon-mixer</t>
  </si>
  <si>
    <t>169 - 183</t>
  </si>
  <si>
    <t>https://www.sieheindustry.com/product_detail/nauta-mixer</t>
  </si>
  <si>
    <t>184 - 197</t>
  </si>
  <si>
    <t>https://www.sieheindustry.com/product_detail/vertical-conical-ribbon-mixer</t>
  </si>
  <si>
    <t>198 - 209</t>
  </si>
  <si>
    <t>https://www.sieheindustry.com/product_detail/v-shape-mixer</t>
  </si>
  <si>
    <t>210 - 219</t>
  </si>
  <si>
    <t>https://www.sieheindustry.com/product_detail/double-cone-mixer</t>
  </si>
  <si>
    <t>220 - 232</t>
  </si>
  <si>
    <t>https://www.sieheindustry.com/product_detail/three-dimensional-blender</t>
  </si>
  <si>
    <t>233 - 239</t>
  </si>
  <si>
    <t>https://www.jskengitech.com/products/double-cone-blender/</t>
  </si>
  <si>
    <t>240 - 252</t>
  </si>
  <si>
    <t>https://www.jskengitech.com/product/ribbon-blender/</t>
  </si>
  <si>
    <t>253 - 265</t>
  </si>
  <si>
    <t>Lisiting Name</t>
  </si>
  <si>
    <t>Material of Construction</t>
  </si>
  <si>
    <t>Inlet Throughput</t>
  </si>
  <si>
    <t>Cake Weight</t>
  </si>
  <si>
    <t>Cake Capacity</t>
  </si>
  <si>
    <t>What is electricity used for?</t>
  </si>
  <si>
    <t>Filter, P&amp;F, 59" x 59", PPL, 37 Plates, Pacific, Recessed, #C743067</t>
  </si>
  <si>
    <t>#C743067</t>
  </si>
  <si>
    <t>Plate &amp; Frame Filters</t>
  </si>
  <si>
    <t>Polypropylene Plates</t>
  </si>
  <si>
    <t>m2</t>
  </si>
  <si>
    <t>kg</t>
  </si>
  <si>
    <t>twin closing rams, control panel and MCC.</t>
  </si>
  <si>
    <t>Filter Press, 41" x 94", LAROX, PF 15 Series , Concentrate Filter Press #5991216</t>
  </si>
  <si>
    <t>Filter, P&amp;F, 36" X 36", PPL, Durco, (16) Plates, Recessed, #S736309</t>
  </si>
  <si>
    <t>#S736309</t>
  </si>
  <si>
    <t>4-eye closed delivery, hydraulic closure.</t>
  </si>
  <si>
    <t>Filter, Rotary, Vac, 10' x 20', S/st, Precoat, Ametek, #S741653</t>
  </si>
  <si>
    <t>#S741653</t>
  </si>
  <si>
    <t>Rotary Drum Filters</t>
  </si>
  <si>
    <t>advancing knife mechanism with SS cutoff knife, SS rocker agitator arm, filtrate receiver tank, controls.</t>
  </si>
  <si>
    <t>Filter, Rotary, Vac, 8' x 10', S/st, Eimco, 100 HP Vac #A742322</t>
  </si>
  <si>
    <t>#A742322</t>
  </si>
  <si>
    <t>Filter, Rotary, Vac, 8' x 10', S/st, Precoat, MecKey Eng. #A743087</t>
  </si>
  <si>
    <t>#A743087</t>
  </si>
  <si>
    <t>vacuum pump, agitator, knife blades.</t>
  </si>
  <si>
    <t>drum drive.</t>
  </si>
  <si>
    <t>DN300</t>
  </si>
  <si>
    <t>Nutsche Filters</t>
  </si>
  <si>
    <t>stirring motor power.</t>
  </si>
  <si>
    <t>DN500</t>
  </si>
  <si>
    <t>DN600</t>
  </si>
  <si>
    <t>DN800</t>
  </si>
  <si>
    <t>DN1000</t>
  </si>
  <si>
    <t>DN1200</t>
  </si>
  <si>
    <t>DN1400</t>
  </si>
  <si>
    <t>DN1600</t>
  </si>
  <si>
    <t>DN1800</t>
  </si>
  <si>
    <t>DN2000</t>
  </si>
  <si>
    <t>DN2300</t>
  </si>
  <si>
    <t>DN2600</t>
  </si>
  <si>
    <t>DN2800</t>
  </si>
  <si>
    <t>DN3000</t>
  </si>
  <si>
    <t>XMZ 30/870</t>
  </si>
  <si>
    <t>Q235B/Q345B Steel</t>
  </si>
  <si>
    <t>XMZ 40/870</t>
  </si>
  <si>
    <t>XMZ 50/870</t>
  </si>
  <si>
    <t>XMZ 60/870</t>
  </si>
  <si>
    <t>XMZ 70/870</t>
  </si>
  <si>
    <t>XMZ 80/870</t>
  </si>
  <si>
    <t>XMZ 50/1000</t>
  </si>
  <si>
    <t>XMZ 60/1000</t>
  </si>
  <si>
    <t>XMZ 70/1000</t>
  </si>
  <si>
    <t>XMZ 80/1000</t>
  </si>
  <si>
    <t>XMZ 100/1000</t>
  </si>
  <si>
    <t>XMZ 120/1000</t>
  </si>
  <si>
    <t>XMZ 100/1250</t>
  </si>
  <si>
    <t>XMZ 120/1250</t>
  </si>
  <si>
    <t>XMZ 140/1250</t>
  </si>
  <si>
    <t>XMZ 160/1250</t>
  </si>
  <si>
    <t>XMZ 180/1250</t>
  </si>
  <si>
    <t>XMZ 200/1250</t>
  </si>
  <si>
    <t>XMZ 220/1250</t>
  </si>
  <si>
    <t>XMZ 250/1250</t>
  </si>
  <si>
    <t>XMZ 200/1500</t>
  </si>
  <si>
    <t>XMZ 250/1500</t>
  </si>
  <si>
    <t>XMZ 300/1500</t>
  </si>
  <si>
    <t>XMZ 350/1500</t>
  </si>
  <si>
    <t>XMZ 400/1500</t>
  </si>
  <si>
    <t>XMZ 450/1500</t>
  </si>
  <si>
    <t>XMZ 500/1500</t>
  </si>
  <si>
    <t>XMZ 500/2000</t>
  </si>
  <si>
    <t>XMZ 600/2000</t>
  </si>
  <si>
    <t>XMZ 700/2000</t>
  </si>
  <si>
    <t>XMZ 800/2000</t>
  </si>
  <si>
    <t>XMZ 900/2000</t>
  </si>
  <si>
    <t>XMZ 1000/2000</t>
  </si>
  <si>
    <t>445 Sqmt Edwards &amp; Jones Polypropylene Plate Filter Press</t>
  </si>
  <si>
    <t>RG9873</t>
  </si>
  <si>
    <t>motor for open/ closure of the plates, plate separation system.</t>
  </si>
  <si>
    <t>32mm Andritz Filter Press</t>
  </si>
  <si>
    <t>V871-01</t>
  </si>
  <si>
    <t>L/min</t>
  </si>
  <si>
    <t>hydraulic power pack.</t>
  </si>
  <si>
    <t>8 Sq. M. Rosenmund 304 Stainless Steel Nutsche Filter</t>
  </si>
  <si>
    <t>885-064</t>
  </si>
  <si>
    <t>4 Sq. M. Rosenmund Nutsche Filter</t>
  </si>
  <si>
    <t>885-119</t>
  </si>
  <si>
    <t>0.06 Sq. M. Schenk 316L Single Sheet Process Filter</t>
  </si>
  <si>
    <t>L1015-08</t>
  </si>
  <si>
    <t>4.0 Sq. M. Rosenmund 316L Stainless Steel Nutsche Type Filter</t>
  </si>
  <si>
    <t>736-6372</t>
  </si>
  <si>
    <t>agitator motor, hydraulic pack motor.</t>
  </si>
  <si>
    <t>0.25 Sq. M. APV Pasilac Thermovac 316L Polished Stainless Steel Vacuum Reactor Filter Dryer</t>
  </si>
  <si>
    <t>RG6093</t>
  </si>
  <si>
    <t>4.0 Sq. M. Rosenmund 316L Stainless Steel Filter/dryer</t>
  </si>
  <si>
    <t>6.3 M2 Filtration Surface Vacuum Rotary Drum Filter TMCI Padovan</t>
  </si>
  <si>
    <t>U2351-1</t>
  </si>
  <si>
    <t xml:space="preserve">drum drive, vacuum pump, centrifugal pump. </t>
  </si>
  <si>
    <t>1219mm X 1524mm, 5.8 Sq M, Rotavac Stainless Steel Rotary Vacuum Filter</t>
  </si>
  <si>
    <t>VL1233-19</t>
  </si>
  <si>
    <t>kW</t>
  </si>
  <si>
    <t>https://www.toptiontech.com/nutsche-filter/nutsche-filter-dryer.html</t>
  </si>
  <si>
    <t>https://sinofilterpress.en.made-in-china.com/product/IszQGFjOZfWA/China-Plate-Frame-Filter-Press-Specification-Sheet.html</t>
  </si>
  <si>
    <t>https://www.perry-equipment.com/</t>
  </si>
  <si>
    <t xml:space="preserve">Entry No. </t>
  </si>
  <si>
    <t>Heat Transfer Area</t>
  </si>
  <si>
    <t>Documented energy-consuming modules</t>
  </si>
  <si>
    <t>Belt Dryers</t>
  </si>
  <si>
    <t>induced draft fan, exhaust fan, feeding conveyor, discharge conveyor.</t>
  </si>
  <si>
    <t>burner, belt drive, conveyor, contol panel, blower to burner.</t>
  </si>
  <si>
    <t>total equipment power. (excluding heating)</t>
  </si>
  <si>
    <t>installation power.</t>
  </si>
  <si>
    <t>total power.</t>
  </si>
  <si>
    <t>Drum Dryers</t>
  </si>
  <si>
    <t>Hydraulic power pack.</t>
  </si>
  <si>
    <t>drum drive, applicator rolls, cut off knife, hydraulic power pack.</t>
  </si>
  <si>
    <t>total installed power, including drum drive, excluding heat source.</t>
  </si>
  <si>
    <t>Rotary Drum Dryers</t>
  </si>
  <si>
    <t>main drive, induced fan, airlock, screw feeding and outlet power.</t>
  </si>
  <si>
    <t>motor drive, blower motor power, draft fan motor power, pan feeder, vibrating screen.</t>
  </si>
  <si>
    <t>Fan power, motive (drum) drive.</t>
  </si>
  <si>
    <t>total installed power.</t>
  </si>
  <si>
    <t>Rotary Plate Dryers</t>
  </si>
  <si>
    <t>Turbo fan motor drive, tray motor, blower.</t>
  </si>
  <si>
    <t>rake drive, exhaust fan.</t>
  </si>
  <si>
    <t>Tray Dryers</t>
  </si>
  <si>
    <t>circulating fan, digital controls, automated humidity control system</t>
  </si>
  <si>
    <t>circulating fan, humidity exhausting fan.</t>
  </si>
  <si>
    <t>circulating fan, returning fan, humidity exhausting fan.</t>
  </si>
  <si>
    <t>fans, control panel.</t>
  </si>
  <si>
    <t>blowers.</t>
  </si>
  <si>
    <t>blower motor.</t>
  </si>
  <si>
    <t>fan power.</t>
  </si>
  <si>
    <t>Water Evaporation Rate</t>
  </si>
  <si>
    <t>Operation Mode</t>
  </si>
  <si>
    <t>Heat Source</t>
  </si>
  <si>
    <t>Heat Duty</t>
  </si>
  <si>
    <t>Commercial Belt Drying Hemp Dryer, 740 Square-Feet #4908272</t>
  </si>
  <si>
    <t>#4908272</t>
  </si>
  <si>
    <t>Continuous</t>
  </si>
  <si>
    <t>Propane</t>
  </si>
  <si>
    <t>BTU/hr</t>
  </si>
  <si>
    <t>Dryer, Tray, Dehydrator, 96-Tray, Electric, #5768963</t>
  </si>
  <si>
    <t>#5768963</t>
  </si>
  <si>
    <t>Batch</t>
  </si>
  <si>
    <t>Dryer, Drum, Single, 60" x 120", Andritz Gouda, Mdl E15/30 #A742915</t>
  </si>
  <si>
    <t>#A742915</t>
  </si>
  <si>
    <t>Dryer, Drum, Double, 42" x 120", Chrome, Blaw Knox, 160 PSI #D745512</t>
  </si>
  <si>
    <t>#D745512</t>
  </si>
  <si>
    <t>Dryer, Drum, Rotary, 48" x 312", C/st #A744314</t>
  </si>
  <si>
    <t>#A744314</t>
  </si>
  <si>
    <t>Drum drive.</t>
  </si>
  <si>
    <t>Dryer, Tray, 32" x 38" x 66", S/st, National, Gas-fired, #S739091</t>
  </si>
  <si>
    <t>#S739091</t>
  </si>
  <si>
    <t>Natural gas</t>
  </si>
  <si>
    <t>Wyssmont OE-32 Turbo Tray Dryer, 96” Diameter, Stainless Steel, (32) Trays - #4664084</t>
  </si>
  <si>
    <t>#4664084</t>
  </si>
  <si>
    <t>Dryer, Tray, 210"x60"x74", Commercial Dehydrator, 1.3 MM BTU</t>
  </si>
  <si>
    <t>Oven, Belt, 34" X 12', EFS, Mdl FTO-3216, Gas-Fired, S742513 #S742513</t>
  </si>
  <si>
    <t>#S742513</t>
  </si>
  <si>
    <t>Oven, Belt, 32" X 16', EFS, Mdl FTO-3216, Gas-Fired #C742508</t>
  </si>
  <si>
    <t>#C742508</t>
  </si>
  <si>
    <t>Oven, Convection, Chen Hwa, Mdl CH-70, 23", 304 S/st, A #S743894</t>
  </si>
  <si>
    <t>#S743894</t>
  </si>
  <si>
    <t>Electricity</t>
  </si>
  <si>
    <t>Oven, Convection, Chin Fa, Mdl CFM, 304 S/st, Electr, B #S743892</t>
  </si>
  <si>
    <t>#S743892</t>
  </si>
  <si>
    <t>Oven, Convection, Chen Hwa, Mdl CH-70, 23", 304 S/st, B #S743895</t>
  </si>
  <si>
    <t>#S743895</t>
  </si>
  <si>
    <t>Figs, Dates, Grapes, Berry, Papaya, Tomato, Apricot, Mushroom, Mango Drying Machine, Guoxin</t>
  </si>
  <si>
    <t>GX-3P</t>
  </si>
  <si>
    <t>Polypropylene/SS</t>
  </si>
  <si>
    <t>GX-8P</t>
  </si>
  <si>
    <t>GX-15P</t>
  </si>
  <si>
    <t>Onion,  Chili, Garlic, Ginger, Flower, Hemp, Leaf Belt Dryer, Guoxin</t>
  </si>
  <si>
    <t>GX2-6-4</t>
  </si>
  <si>
    <t>Steam, Gas, Electricity, Wood</t>
  </si>
  <si>
    <t>GX2-8-4</t>
  </si>
  <si>
    <t>GX2-9-4</t>
  </si>
  <si>
    <t>GX2-10-4</t>
  </si>
  <si>
    <t>kg/hr</t>
  </si>
  <si>
    <t>Rotary Tray Dryer, Hywell</t>
  </si>
  <si>
    <t>1200/6</t>
  </si>
  <si>
    <t>Steam, Oil, Hot water</t>
  </si>
  <si>
    <t>1200/10</t>
  </si>
  <si>
    <t>1500/6</t>
  </si>
  <si>
    <t>1500/10</t>
  </si>
  <si>
    <t>1500/16</t>
  </si>
  <si>
    <t>2200/6</t>
  </si>
  <si>
    <t>2200/10</t>
  </si>
  <si>
    <t>2200/16</t>
  </si>
  <si>
    <t>2200/22</t>
  </si>
  <si>
    <t>3000/8</t>
  </si>
  <si>
    <t>3000/16</t>
  </si>
  <si>
    <t>3000/22</t>
  </si>
  <si>
    <t>3000/30</t>
  </si>
  <si>
    <t>Hot Air Tray Dryer, Hywell</t>
  </si>
  <si>
    <t>CT-C-O</t>
  </si>
  <si>
    <t>Steam, Electricity</t>
  </si>
  <si>
    <t>CT-C-I</t>
  </si>
  <si>
    <t>CT-C-II</t>
  </si>
  <si>
    <t>CT-C-III</t>
  </si>
  <si>
    <t>CT-C-IV</t>
  </si>
  <si>
    <t>Steam, Gas, Oil, Electricity</t>
  </si>
  <si>
    <t>Double-Drum Dryer Model T, Andritz</t>
  </si>
  <si>
    <t>5/5</t>
  </si>
  <si>
    <t>Cast Iron, Chromium Plated</t>
  </si>
  <si>
    <t>Steam</t>
  </si>
  <si>
    <t>5/10</t>
  </si>
  <si>
    <t>10/10</t>
  </si>
  <si>
    <t>10/20</t>
  </si>
  <si>
    <t>10/30</t>
  </si>
  <si>
    <t>15/30</t>
  </si>
  <si>
    <t>15/40</t>
  </si>
  <si>
    <t>Single-Drum Dryer Model E, Andritz</t>
  </si>
  <si>
    <t>20/40</t>
  </si>
  <si>
    <t>20/45</t>
  </si>
  <si>
    <t>Direct Heated Rotary Dryers, Best Practice Manual, DEVki Energy Consultancy Pvt. Ltd.</t>
  </si>
  <si>
    <t>DEV Sugar Beet</t>
  </si>
  <si>
    <t>Oil</t>
  </si>
  <si>
    <t>DEV Calcium Carbonate</t>
  </si>
  <si>
    <t>DEV Furnace Slag</t>
  </si>
  <si>
    <t>DEV Lead Concentration</t>
  </si>
  <si>
    <t>DEV Sand</t>
  </si>
  <si>
    <t>Gas</t>
  </si>
  <si>
    <t>DEV Aluminum Sulfate</t>
  </si>
  <si>
    <t>DEV Fine Salt</t>
  </si>
  <si>
    <t>DEV Crystals</t>
  </si>
  <si>
    <t>DEV Zinc Concentration</t>
  </si>
  <si>
    <t>Sawdust Drum Drying Machine, Thoyu</t>
  </si>
  <si>
    <t>PMWS - 1010</t>
  </si>
  <si>
    <t>PMWS - 1510</t>
  </si>
  <si>
    <t>Biomass, sawdust, oil palm fiber, mineral powder Dryer, Zhengzhou Dynnor Industrial Machinery</t>
  </si>
  <si>
    <t>SG-15</t>
  </si>
  <si>
    <t>Coal</t>
  </si>
  <si>
    <t>SG-20</t>
  </si>
  <si>
    <t>SG-30</t>
  </si>
  <si>
    <t>SG-40</t>
  </si>
  <si>
    <t>SG-50</t>
  </si>
  <si>
    <t>SG-60</t>
  </si>
  <si>
    <t>Sand Dryer, Zhengzhou Dynnor Industrial Machinery</t>
  </si>
  <si>
    <t>DLS623</t>
  </si>
  <si>
    <t>DLS625</t>
  </si>
  <si>
    <t>DLS6210</t>
  </si>
  <si>
    <t>DLS6225</t>
  </si>
  <si>
    <t>Tray Dryer, JSK Engitech Industries</t>
  </si>
  <si>
    <t>TD-12</t>
  </si>
  <si>
    <t>304 SS/ 316 SS</t>
  </si>
  <si>
    <t>Steam, Gas, Electricity</t>
  </si>
  <si>
    <t>TD-24</t>
  </si>
  <si>
    <t>TD-48</t>
  </si>
  <si>
    <t>TD-96</t>
  </si>
  <si>
    <t>TD-192</t>
  </si>
  <si>
    <t>Industrial Belt Dryer DW, Chinaspraydryer</t>
  </si>
  <si>
    <t>DW-1.2-8</t>
  </si>
  <si>
    <t>DW-1.2-10</t>
  </si>
  <si>
    <t>DW-1.6-8</t>
  </si>
  <si>
    <t>DW-1.6-10</t>
  </si>
  <si>
    <t>DW-2-8</t>
  </si>
  <si>
    <t>DW-2-10</t>
  </si>
  <si>
    <t>DW-2-20</t>
  </si>
  <si>
    <t>Fully Automatic Single-layer Belt Dryer, Guanfeng Machine</t>
  </si>
  <si>
    <t>GBJ-16</t>
  </si>
  <si>
    <t>GBJ-24</t>
  </si>
  <si>
    <t>GBJ-32</t>
  </si>
  <si>
    <t>GBJ-60</t>
  </si>
  <si>
    <t>GBJ-100</t>
  </si>
  <si>
    <t>Mesh Belt Dryer, Griffin Machinery</t>
  </si>
  <si>
    <t>DW3-1.2-8B</t>
  </si>
  <si>
    <t>Steam, Electricity, Coal</t>
  </si>
  <si>
    <t>DW3-1.2-10B</t>
  </si>
  <si>
    <t>DW3-2.0-8B</t>
  </si>
  <si>
    <t>DW3-2.0-10B</t>
  </si>
  <si>
    <t>Hot Air Circulating Oven, Griffin Machinery</t>
  </si>
  <si>
    <t>CT-I</t>
  </si>
  <si>
    <t>CT-II</t>
  </si>
  <si>
    <t>CT-III</t>
  </si>
  <si>
    <t>1 - 14</t>
  </si>
  <si>
    <t>https://gxdrying.com/</t>
  </si>
  <si>
    <t>https://www.hywellco.com/</t>
  </si>
  <si>
    <t>https://www.andritz.com</t>
  </si>
  <si>
    <t>https://www.thoyu.com/</t>
  </si>
  <si>
    <t>http://www.drying-solution.com/</t>
  </si>
  <si>
    <t>https://www.guanfengmachine.com/</t>
  </si>
  <si>
    <t>https://www.griffinmachinery.com/</t>
  </si>
  <si>
    <t>14 - 20</t>
  </si>
  <si>
    <t>21 - 38</t>
  </si>
  <si>
    <t>39 - 53</t>
  </si>
  <si>
    <t>54 - 62</t>
  </si>
  <si>
    <t>https://nredcap.in/PDFs/BEE_manuals/BEST_PRACTICE_MANUAL_DRYERS.pdf</t>
  </si>
  <si>
    <t>63 - 64</t>
  </si>
  <si>
    <t>65 - 74</t>
  </si>
  <si>
    <t>75 - 79</t>
  </si>
  <si>
    <t>80 - 86</t>
  </si>
  <si>
    <t>87 - 91</t>
  </si>
  <si>
    <t>92 - 103</t>
  </si>
  <si>
    <t xml:space="preserve">Ref No. </t>
  </si>
  <si>
    <t>904L SS</t>
  </si>
  <si>
    <t>0.20 Sq. M. Rosenmund 316L Stainless Steel Filter Dryer</t>
  </si>
  <si>
    <t>8295896-rosenmund-filter-nutsche</t>
  </si>
  <si>
    <t>Rosenmond model RSD-2-801-94</t>
  </si>
  <si>
    <t>8304565-filter-nutsche</t>
  </si>
  <si>
    <t>Hastelloy C22</t>
  </si>
  <si>
    <t>agitation motor, hydraulic powerpack for raise and lower of agitator and bottom filter plate.</t>
  </si>
  <si>
    <t>Rosenmond model RND-6-310-84</t>
  </si>
  <si>
    <t>8282731-filter-nutsche</t>
  </si>
  <si>
    <t>agitation motor, drive for raise and lowering the the agitator.</t>
  </si>
  <si>
    <t>0.3 Sq. M. Rosenmond</t>
  </si>
  <si>
    <t>8287415-filter-nutsche</t>
  </si>
  <si>
    <t>Charles Thompson 1 Sq. Mt. Nutsche Filter Dryer</t>
  </si>
  <si>
    <t>8304952-filter-nutsche</t>
  </si>
  <si>
    <t>L</t>
  </si>
  <si>
    <t>agitation motor, hydraulic raise/lower driven motor.</t>
  </si>
  <si>
    <t>Charles Thompson 2 Sq. Mt. Nutsche Filter Dryer</t>
  </si>
  <si>
    <t>8305091-filter-nutsche</t>
  </si>
  <si>
    <t>Rosenmond model RPD-6-635-91</t>
  </si>
  <si>
    <t>8305325-filter-nutsche</t>
  </si>
  <si>
    <t>Hastelloy C276</t>
  </si>
  <si>
    <t>agitation motor, hydraulic motor.</t>
  </si>
  <si>
    <t>0.19 Sq. M. Comber Hastelloy/Brick Lined Nutsche Filter Dryer</t>
  </si>
  <si>
    <t>RG6017</t>
  </si>
  <si>
    <t>Hastelloy</t>
  </si>
  <si>
    <t>agitation motor, raise/lower motor.</t>
  </si>
  <si>
    <t>RG6184</t>
  </si>
  <si>
    <t>Guedu Model ML750</t>
  </si>
  <si>
    <t>RG6183</t>
  </si>
  <si>
    <t>Guedu Model ML500</t>
  </si>
  <si>
    <t>RG6294</t>
  </si>
  <si>
    <t>Guedu Model ML1000</t>
  </si>
  <si>
    <t>Charles Thompson 1.13 Sq. Mt. Nutsche Filter Dryer</t>
  </si>
  <si>
    <t>RG6372</t>
  </si>
  <si>
    <t>agitation motor with hydraulic raise/lower cylinders.</t>
  </si>
  <si>
    <t>Seitz Model Efr 125/1500 CW 904L Stainless Steel Terra Nutsche Filter Dryer</t>
  </si>
  <si>
    <t>RG6376</t>
  </si>
  <si>
    <t>agitation motor, hydraulic raise/lower driven motor, discharge valve motor.</t>
  </si>
  <si>
    <t>ZG45321</t>
  </si>
  <si>
    <t>Seitz Wega Type EFT125</t>
  </si>
  <si>
    <t>T316 SS</t>
  </si>
  <si>
    <t>ZG46845</t>
  </si>
  <si>
    <t>3.0 Sq. M. Rosenmund 316L Stainless Steel Filter/dryer</t>
  </si>
  <si>
    <t>ZG53857</t>
  </si>
  <si>
    <t>Guedu Model ML-250</t>
  </si>
  <si>
    <t>agitation motor, hydraulic powerpack.</t>
  </si>
  <si>
    <t>RG5722</t>
  </si>
  <si>
    <t>Mathews Engineering SS Nutsche Filter Dryer</t>
  </si>
  <si>
    <t>top mounted main drive, hydraulic power pack for raise/lower.</t>
  </si>
  <si>
    <t>RG5825</t>
  </si>
  <si>
    <t>Rosenmund Type RSD1 316L Stainless Steel Nutsche Filter Dryer</t>
  </si>
  <si>
    <t>RG6755</t>
  </si>
  <si>
    <t>Hovex Model F2400-320</t>
  </si>
  <si>
    <t>drum drive, vacuum pump (has 2, probably one working one standby).</t>
  </si>
  <si>
    <t>RG6754</t>
  </si>
  <si>
    <t>Hovex Model F2000-320</t>
  </si>
  <si>
    <t xml:space="preserve">drum drive, discharge knife, vacuum pump. </t>
  </si>
  <si>
    <t>RG7670</t>
  </si>
  <si>
    <t>Seitz Type Combibloc</t>
  </si>
  <si>
    <t>drum drive, vacuum pump.</t>
  </si>
  <si>
    <t>RG7669</t>
  </si>
  <si>
    <t>Schenk filterbau GmbH Type VDF-6M2</t>
  </si>
  <si>
    <t>RG8335</t>
  </si>
  <si>
    <t>1 Sq. M. SS (316) Rotary Vacuum Filter</t>
  </si>
  <si>
    <t>drum drive, stirrer, knife discharge, vacuum pump.</t>
  </si>
  <si>
    <t>RG8334</t>
  </si>
  <si>
    <t>Krauss Maffei Type TSF</t>
  </si>
  <si>
    <t>RG6118</t>
  </si>
  <si>
    <t>Nivoba Type FC-160-8</t>
  </si>
  <si>
    <t>ZG48860</t>
  </si>
  <si>
    <t>Eimco 8 in 10 CS Rotary Vacuum Filter</t>
  </si>
  <si>
    <t>drum drive, discharge system, vacuum pump.</t>
  </si>
  <si>
    <t>ZW35339</t>
  </si>
  <si>
    <t>Komline Sanderson Precoat Rotary Vacuum Filter</t>
  </si>
  <si>
    <t>ZG27156</t>
  </si>
  <si>
    <t>Eimcomet Rotor Vacuum Filter</t>
  </si>
  <si>
    <t>800 x 800 mm Envites Model KM800/45 Chamber Type Filter Press</t>
  </si>
  <si>
    <t>HG62306</t>
  </si>
  <si>
    <t>double acting hydraulic pump for plate closure.</t>
  </si>
  <si>
    <t>1500mm X 4010mm Outotec Larox PF48 Filter Press Unused</t>
  </si>
  <si>
    <t>V810-131</t>
  </si>
  <si>
    <t>hydraulic pack, control panel.</t>
  </si>
  <si>
    <t>47" X 94" Hoesch Automatic Pressure Filter</t>
  </si>
  <si>
    <t>RG8989</t>
  </si>
  <si>
    <t>hydraulic drive motor.</t>
  </si>
  <si>
    <t>Tefsa Model PSEH-1200 Polypropylene Plate Filter Press</t>
  </si>
  <si>
    <t>RG7333</t>
  </si>
  <si>
    <t>hydraulic powerpack for plate opening/closing mechanism.</t>
  </si>
  <si>
    <t>RG7093</t>
  </si>
  <si>
    <t>Della Toffola Plate Filter Press</t>
  </si>
  <si>
    <t>Plastic Plates</t>
  </si>
  <si>
    <t>hydraulic open/close.</t>
  </si>
  <si>
    <t>U1977-1</t>
  </si>
  <si>
    <t>Italprogretti Plate and Frame Filter Press</t>
  </si>
  <si>
    <t>control and hydraulic unit.</t>
  </si>
  <si>
    <t>XZS65555E</t>
  </si>
  <si>
    <t>Putsch PKF Slurry Filter Model 100-86</t>
  </si>
  <si>
    <t>total electrical power.</t>
  </si>
  <si>
    <t>ZG55989</t>
  </si>
  <si>
    <t>JWI J-Press Filter Proess Model 1200N32-79-100DYHC</t>
  </si>
  <si>
    <t>hydraulic pump, controls.</t>
  </si>
  <si>
    <t>ZG50113</t>
  </si>
  <si>
    <t>Lasta Cast Iron Filter Press</t>
  </si>
  <si>
    <t>Cast Iron</t>
  </si>
  <si>
    <t>hydraulic power unit for closing/clamping, cloth movement (for cleaning).</t>
  </si>
  <si>
    <t>RG4447</t>
  </si>
  <si>
    <t>Tecnicas Hidralicas Model APN 18Q Filter Press</t>
  </si>
  <si>
    <t>0.25 Square Meter Rosenmund Agitated Hastelloy C22 Nutsche Filter Dryer</t>
  </si>
  <si>
    <t>21126V</t>
  </si>
  <si>
    <t>hydraulically operated agitator.</t>
  </si>
  <si>
    <t>678-17</t>
  </si>
  <si>
    <t>Rosenmund 0.5 Sq. M. Nutsche Filter</t>
  </si>
  <si>
    <t>T316L SS</t>
  </si>
  <si>
    <t>634-209100</t>
  </si>
  <si>
    <t>Rosenmund 5 Sq. M. Hastelloy C22 Nutsche Filter</t>
  </si>
  <si>
    <t>paddle agitator drive.</t>
  </si>
  <si>
    <t>632-28496</t>
  </si>
  <si>
    <t>Guedu 6 Sq. M. Hastelloy C22 Rotary Filter Dryer</t>
  </si>
  <si>
    <t>3-curve retreat agitator, hydraulic pump (raise/lower).</t>
  </si>
  <si>
    <t>2.4 Square Meter Rosenmund 316L Stainless Steel Filter/Dryer</t>
  </si>
  <si>
    <t>main drive, auger drive, hydraulic system.</t>
  </si>
  <si>
    <t>L1125-01</t>
  </si>
  <si>
    <t>Guedu Model ML-3000 Nutsche Filter Dryer</t>
  </si>
  <si>
    <t>agitator, hydraulic powerpack for raise/lower.</t>
  </si>
  <si>
    <t>0.30 Square Meter Zwag Hastelloy C276 Nutsche Filter Dryer</t>
  </si>
  <si>
    <t>V711-37282</t>
  </si>
  <si>
    <t>hydraulically driven agitator.</t>
  </si>
  <si>
    <t>L1020-02</t>
  </si>
  <si>
    <t>Rosenmund Model RSD 0.2-768-94</t>
  </si>
  <si>
    <t>L1015-04</t>
  </si>
  <si>
    <t>agitator drive, hydraulic powerpack for raise/lower.</t>
  </si>
  <si>
    <t>L1002-02</t>
  </si>
  <si>
    <t>KHS Model EFA60/125HCWFKR Hastelloy C22 Single Plate Nutsche Filter</t>
  </si>
  <si>
    <t>agitator drive, raise/lower hydraulic power pack is manual.</t>
  </si>
  <si>
    <t>U2059-3</t>
  </si>
  <si>
    <t>COMBER (ITALY) TYPE PF300 Nutsche Filter Dryer</t>
  </si>
  <si>
    <t>agitator drive, uprising/lowering drive, filtration deck.</t>
  </si>
  <si>
    <t>RG7971</t>
  </si>
  <si>
    <t>Rosenmund AG Liestal 0.4 Sq. M. Nutsche Filter Dryer</t>
  </si>
  <si>
    <t>hydraulic drive motor (for stirring and lifting).</t>
  </si>
  <si>
    <t>L0945-06</t>
  </si>
  <si>
    <t>Rosenmund Type RSD 1.6 316L SS Nutsche Filter Dryer</t>
  </si>
  <si>
    <t>3-blade retreat curve agitator, hydraulic raise/lower drive.</t>
  </si>
  <si>
    <t>L0937-25</t>
  </si>
  <si>
    <t>3V Cogeim model FPP200XD/FM polished hastelloy C22 nutsche filter dryer</t>
  </si>
  <si>
    <t>2-blade paddle agitator, hydraulic powerpack for raise and lower.</t>
  </si>
  <si>
    <t>L0905</t>
  </si>
  <si>
    <t>GUEDU TYPE FILTRE PILOTE 316L STAINLESS STEEL NUTSCHE FILTER DRYER</t>
  </si>
  <si>
    <t>RG7238</t>
  </si>
  <si>
    <t>Rosenmund 0.6 Sq. M. Hastelloy C4 Nutsche Filter Dryer</t>
  </si>
  <si>
    <t>Hastelloy C4</t>
  </si>
  <si>
    <t>agitator drive, hydraulic powerpack.</t>
  </si>
  <si>
    <t>649-30527</t>
  </si>
  <si>
    <t>Cogeim Model FPP300FMD</t>
  </si>
  <si>
    <t>agitator drive, hydraulic agitator lift.</t>
  </si>
  <si>
    <t>L0830-01</t>
  </si>
  <si>
    <t>Surmet 0.27 Sq. M. 316 SS Nutsche Filter Dryer</t>
  </si>
  <si>
    <t>agitator drive (raise/lower is manual).</t>
  </si>
  <si>
    <t>632-28497</t>
  </si>
  <si>
    <t>Guedu 2 Sq. M. Hastelloy C22 Rotary Filter Dryer</t>
  </si>
  <si>
    <t>agitator drive, hydraulic drive for lift.</t>
  </si>
  <si>
    <t>VL0727</t>
  </si>
  <si>
    <t>Rosenmund Model RND5 316L SS Nutsche Filter Dryer</t>
  </si>
  <si>
    <t>agitator drive, hydraulic motor for raise/lower.</t>
  </si>
  <si>
    <t>ZG55806</t>
  </si>
  <si>
    <t>Cogeim Model FPP250SD-FM Hastelloy C22 Nutsche Filter Dryer</t>
  </si>
  <si>
    <t>agitator drive (value at higher RPM documented), hydraulic drive for lift/lowering.</t>
  </si>
  <si>
    <t>RG5713</t>
  </si>
  <si>
    <t>ZWAG (Zchokke Wartmann) 0.75 Sq. M. 316Ti SS Nutsche Filter Dryer</t>
  </si>
  <si>
    <t>316Ti SS</t>
  </si>
  <si>
    <t>1.0 Sq. M. Zwag 316Ti Stainless Steel Nutsche Filter Dryer</t>
  </si>
  <si>
    <t>20091-03</t>
  </si>
  <si>
    <t>LAROX MODEL PF32 VERTICAL FILTER PRESS</t>
  </si>
  <si>
    <t>clamping mechanism (for pressing and de-pressing), cloth drive (for cake discharge) (water pump excluded).</t>
  </si>
  <si>
    <t>20234-1</t>
  </si>
  <si>
    <t>DURIRON MODEL QP/1000 PLATE FILTER</t>
  </si>
  <si>
    <t>hydraulic ram for plate closure, and automatic overhead plate shifter.</t>
  </si>
  <si>
    <t>U2049</t>
  </si>
  <si>
    <t>NETZSCH chamber filterpress</t>
  </si>
  <si>
    <t>hydraulic unit (plate clamping/unclamping).</t>
  </si>
  <si>
    <t>L0908-02</t>
  </si>
  <si>
    <t>Welders NV model OMF1200 polypropylene plate filter press</t>
  </si>
  <si>
    <t>hydraulic pack for open/closure of plates.</t>
  </si>
  <si>
    <t>MEMBRANE CHAMBER FILTER PRESS MANUFACTURED BY NETZSCH TYPE F333.55</t>
  </si>
  <si>
    <t>L0906-02</t>
  </si>
  <si>
    <t>clamping mechanism (for pressing and de-pressing), wash device, scrape device.</t>
  </si>
  <si>
    <t>U1977-2</t>
  </si>
  <si>
    <t>chamber filter press made by Italprogretti</t>
  </si>
  <si>
    <t>hydraulic device, control panel.</t>
  </si>
  <si>
    <t>ZG57667</t>
  </si>
  <si>
    <t>JWI FILTER PRESS, MODEL 1500G32-117-225SYCO</t>
  </si>
  <si>
    <t>dual acting hydraulic pump.</t>
  </si>
  <si>
    <t>L0576-06</t>
  </si>
  <si>
    <t>JORD ENGINEERING POLYPROPYLENE MEMBRANE PLATE FILTER PRESS</t>
  </si>
  <si>
    <t>hydraulic pump.</t>
  </si>
  <si>
    <t>L0577-06</t>
  </si>
  <si>
    <t>POLYPROPYLENE MEMBRANE PLATE FILTER PRESS</t>
  </si>
  <si>
    <t>RG5842</t>
  </si>
  <si>
    <t>DORR OLIVER 25 SQMT STAINLESS STEEL ROTARY VACUUM FILTER</t>
  </si>
  <si>
    <t>drum drive, stirrer, vacuum pump.</t>
  </si>
  <si>
    <t>L0040-4</t>
  </si>
  <si>
    <t xml:space="preserve"> BIRD YOUNG 18" DIAMETER X 12" FACE ROTARY VACUUM FILTER</t>
  </si>
  <si>
    <t>TMCI Padovan (IT) model Taylo 6MQ</t>
  </si>
  <si>
    <t>914mm X 610mm 1.8 Sq. M. Stockdale Stainless Steel Rotary Vacuum Filter</t>
  </si>
  <si>
    <t>VL1233-18</t>
  </si>
  <si>
    <t>H3796</t>
  </si>
  <si>
    <t>Larox model VF 18/15 P2 stainless steel Rotary vacuum drum filter</t>
  </si>
  <si>
    <t>RG8332</t>
  </si>
  <si>
    <t>DORR-OLIVER TYPE PRECOAT FILTER 0,3 SQMT 316 SS ROTARY VACUUM FILTER</t>
  </si>
  <si>
    <t>H3487</t>
  </si>
  <si>
    <t>rotary vacuum filter ALFA LAVAL, type TFBT 8</t>
  </si>
  <si>
    <t>CS/SS</t>
  </si>
  <si>
    <t>586-200-005A</t>
  </si>
  <si>
    <t>KETEMA/AMETEK 10' DIAMETER X 12' FACE PRECOAT ROTARY VACUUM FILTER</t>
  </si>
  <si>
    <t>vacuum pump, knife discharge.</t>
  </si>
  <si>
    <t>ZG53383</t>
  </si>
  <si>
    <t>KOMLINE SANDERSON 8' DIAMETER X 12' LONG ROTARY VACUUM FILTER</t>
  </si>
  <si>
    <t>agitator drive, drum drive, knife discharge, vacuum pump.</t>
  </si>
  <si>
    <t>M3818J-008</t>
  </si>
  <si>
    <t>KOMLINE SANDERSON 4'6" X 4' T-316 STIANLESS STEEL ROTARY VACUUM FILTER</t>
  </si>
  <si>
    <t>Alar 6ft Dia. x 6ft Long Rotary Vacuum Filter System</t>
  </si>
  <si>
    <t>ID: 1505314</t>
  </si>
  <si>
    <t>agitator, drum drive with reducer, vacuum pump.</t>
  </si>
  <si>
    <t>Eimco 18 x 12 Drum Filter</t>
  </si>
  <si>
    <t>ID: 56487</t>
  </si>
  <si>
    <t>drum drive, vacuum pump, roots blower.</t>
  </si>
  <si>
    <t>13 1/2 ft. dia. x 20 ft. Dorr Oliver Rotary Vacuum Drum Filter</t>
  </si>
  <si>
    <t>ID: 49453</t>
  </si>
  <si>
    <t>agitator, vacuum pump.</t>
  </si>
  <si>
    <t>www.savonaequipment.com</t>
  </si>
  <si>
    <t>Used Pilot Plant Belt Dryer By Neuweiler AG</t>
  </si>
  <si>
    <t>U2441-1</t>
  </si>
  <si>
    <t>feed system (turbine), belt drive, air blower.</t>
  </si>
  <si>
    <t>UP5846</t>
  </si>
  <si>
    <t>ZUGIL (WIELUN.PL) SS Atmospheric Tray Dryer Made in Poland</t>
  </si>
  <si>
    <t>m</t>
  </si>
  <si>
    <t>installed power, excluding heating.</t>
  </si>
  <si>
    <t>BG0027-01</t>
  </si>
  <si>
    <t>Unused Comessa Rotary Dryer Internal Ø 2200 mm</t>
  </si>
  <si>
    <t>96" X 28' FMC Link-Belt Roto-Louvre Carbon Steel Spiral Roaster</t>
  </si>
  <si>
    <t>20795-1716</t>
  </si>
  <si>
    <t xml:space="preserve">Steam </t>
  </si>
  <si>
    <t>drum drive, recirculation fan, rotary valve under filter, extraction fan.</t>
  </si>
  <si>
    <t>drum drive and gear, air blower, discharge screw conveyor.</t>
  </si>
  <si>
    <t>U2096-2</t>
  </si>
  <si>
    <t>atmospheric stainless steel tray dryer manufactured by REMECO SRL (Romania)</t>
  </si>
  <si>
    <t>fan/blower (recirculation, refreshment).</t>
  </si>
  <si>
    <t>RG7749</t>
  </si>
  <si>
    <t>STAINLESS STEEL DRYING OVEN MANUFACTURED BY LYTZEN TYPE C</t>
  </si>
  <si>
    <t>fan/blower.</t>
  </si>
  <si>
    <t>STANDARD STEEL ROTARY HOT AIR DRYER/GRANULATOR</t>
  </si>
  <si>
    <t>687-06</t>
  </si>
  <si>
    <t>fan/blower, drum drive.</t>
  </si>
  <si>
    <t>104 - 110</t>
  </si>
  <si>
    <t>Length, m</t>
  </si>
  <si>
    <t>Product Yield</t>
  </si>
  <si>
    <t>Volumetric Capacity</t>
  </si>
  <si>
    <t>Rotary Kiln, 5.5' X 32-1/2', Maxon Burner, Feeder - #4673732</t>
  </si>
  <si>
    <t>#4673732</t>
  </si>
  <si>
    <t>Rotary Kiln</t>
  </si>
  <si>
    <t>Gas-fired</t>
  </si>
  <si>
    <t>m3</t>
  </si>
  <si>
    <t>Wet Rotary Kiln, Pengfei Group</t>
  </si>
  <si>
    <t>#3.0-88</t>
  </si>
  <si>
    <t>main drum drive.</t>
  </si>
  <si>
    <t>#3.0-100</t>
  </si>
  <si>
    <t>#3.3-118</t>
  </si>
  <si>
    <t>#3.3-125</t>
  </si>
  <si>
    <t>#3.5-145</t>
  </si>
  <si>
    <t>Cement Rotary Kiln, Pengfei Group</t>
  </si>
  <si>
    <t>#3.0-48</t>
  </si>
  <si>
    <t>#3.2-50</t>
  </si>
  <si>
    <t>#3.3-50</t>
  </si>
  <si>
    <t>#3.5-54</t>
  </si>
  <si>
    <t>#4.0-60</t>
  </si>
  <si>
    <t>#4.3-64</t>
  </si>
  <si>
    <t>#4.8-74</t>
  </si>
  <si>
    <t>#5.0-74</t>
  </si>
  <si>
    <t>#5.6-87</t>
  </si>
  <si>
    <t>#6.0-95</t>
  </si>
  <si>
    <t>Metallurgical Industry Rotary Kiln, Pengfei Group</t>
  </si>
  <si>
    <t>#5.5-115</t>
  </si>
  <si>
    <t>#5.2-118</t>
  </si>
  <si>
    <t>#4.85-75</t>
  </si>
  <si>
    <t>#4.8-110</t>
  </si>
  <si>
    <t>#4.6-100</t>
  </si>
  <si>
    <t>#4.4-100</t>
  </si>
  <si>
    <t>#4.0-90</t>
  </si>
  <si>
    <t>#3.8-85</t>
  </si>
  <si>
    <t>Large Rotary Kiln, XKJ Group</t>
  </si>
  <si>
    <t>Φ2.5×40</t>
  </si>
  <si>
    <t>Φ2.5×50</t>
  </si>
  <si>
    <t>Φ2.5×54</t>
  </si>
  <si>
    <t>Φ2.7×42</t>
  </si>
  <si>
    <t>Φ2.8×44</t>
  </si>
  <si>
    <t>Φ3.0×45</t>
  </si>
  <si>
    <t>Φ3.0×60</t>
  </si>
  <si>
    <t>Φ3.2×50</t>
  </si>
  <si>
    <t>Φ3.3×52</t>
  </si>
  <si>
    <t>Φ3.6×70</t>
  </si>
  <si>
    <t>Φ4.0×56</t>
  </si>
  <si>
    <t>Φ4.2×60</t>
  </si>
  <si>
    <t>Φ4.3×60</t>
  </si>
  <si>
    <t>Φ4.5×66</t>
  </si>
  <si>
    <t>Φ4.7×74</t>
  </si>
  <si>
    <t>Sludge Ceramsite Rotary Kiln, XKJ Group</t>
  </si>
  <si>
    <t>Φ1.5×26</t>
  </si>
  <si>
    <t>Φ1.8×24</t>
  </si>
  <si>
    <t>Φ2.2×36</t>
  </si>
  <si>
    <t>Φ2.4×33</t>
  </si>
  <si>
    <t>Lepidolite Rotary Kiln, XKJ Group</t>
  </si>
  <si>
    <t>Φ0.8×15</t>
  </si>
  <si>
    <t>Φ2×36</t>
  </si>
  <si>
    <t>Φ2.6×47</t>
  </si>
  <si>
    <t>Φ3.3×60</t>
  </si>
  <si>
    <t>Φ3.6×65</t>
  </si>
  <si>
    <t>Φ4×72</t>
  </si>
  <si>
    <t>Φ4.3×78</t>
  </si>
  <si>
    <t>Φ4.8×86</t>
  </si>
  <si>
    <t>Φ5×90</t>
  </si>
  <si>
    <t>Φ5.2×95</t>
  </si>
  <si>
    <t>Spodumene Rotary Kiln, XKJ Group</t>
  </si>
  <si>
    <t>Φ2.8×46</t>
  </si>
  <si>
    <t>Φ2.8×56</t>
  </si>
  <si>
    <t>Φ3.2×48</t>
  </si>
  <si>
    <t>Φ3.2×68</t>
  </si>
  <si>
    <t>Φ3.5×52</t>
  </si>
  <si>
    <t>Φ3.5×70</t>
  </si>
  <si>
    <t>Φ4.0×60</t>
  </si>
  <si>
    <t>Φ4.0×80</t>
  </si>
  <si>
    <t>Φ4.2×84</t>
  </si>
  <si>
    <t>Φ4.3×62</t>
  </si>
  <si>
    <t>Φ4.3×86</t>
  </si>
  <si>
    <t>Φ4.5×68</t>
  </si>
  <si>
    <t>Φ4.5×90</t>
  </si>
  <si>
    <t>Φ4.6×70</t>
  </si>
  <si>
    <t>Φ4.6×92</t>
  </si>
  <si>
    <t>Φ5×75</t>
  </si>
  <si>
    <t>Φ5×110</t>
  </si>
  <si>
    <t>Φ5.2×80</t>
  </si>
  <si>
    <t>Φ5.2×115</t>
  </si>
  <si>
    <t>Kaolin Rotary Kiln, XKJ Group</t>
  </si>
  <si>
    <t>YZ1636</t>
  </si>
  <si>
    <t>YZ1939</t>
  </si>
  <si>
    <t>YZ2044</t>
  </si>
  <si>
    <t>YZ2245</t>
  </si>
  <si>
    <t>YZ2820</t>
  </si>
  <si>
    <t>YZ3028</t>
  </si>
  <si>
    <t>YZ3060</t>
  </si>
  <si>
    <t>YZ3226</t>
  </si>
  <si>
    <t>YZ3255</t>
  </si>
  <si>
    <t>YZ3529</t>
  </si>
  <si>
    <t>YZ3560</t>
  </si>
  <si>
    <t>YZ4030</t>
  </si>
  <si>
    <t>YZ4060</t>
  </si>
  <si>
    <t>YZ4262</t>
  </si>
  <si>
    <t>YZ4565</t>
  </si>
  <si>
    <t>YZ4772</t>
  </si>
  <si>
    <t>Zinc Oxide Rotary Kiln, Zonelion Taeda</t>
  </si>
  <si>
    <t>Ceramic Sand Rotary Kiln, Zonelion Taeda</t>
  </si>
  <si>
    <t>Ø2.8×50</t>
  </si>
  <si>
    <t>Ø3.0×55</t>
  </si>
  <si>
    <t>Ø3.2×60</t>
  </si>
  <si>
    <t>Ø3.6×64</t>
  </si>
  <si>
    <t>Ø3.8×70</t>
  </si>
  <si>
    <t>Calcium Aluminate Powder Rotary Kiln, Zonelion Taeda</t>
  </si>
  <si>
    <t>Ø2.2×38</t>
  </si>
  <si>
    <t>Ø2.8×43</t>
  </si>
  <si>
    <t>Ø3.0×50</t>
  </si>
  <si>
    <t>Ø3.2×50</t>
  </si>
  <si>
    <t>Ø3.6×55</t>
  </si>
  <si>
    <t>Ø3.8×58</t>
  </si>
  <si>
    <t>Ø4.0×60</t>
  </si>
  <si>
    <t>Kaolin Calcining Kiln, Zonelion Taeda</t>
  </si>
  <si>
    <t>φ1.6×32</t>
  </si>
  <si>
    <t>φ2.5×55</t>
  </si>
  <si>
    <t>φ2.8×55</t>
  </si>
  <si>
    <t>φ3.0×60</t>
  </si>
  <si>
    <t>φ3.2×64</t>
  </si>
  <si>
    <t>φ4.0×80</t>
  </si>
  <si>
    <t>Rotary Calcining Kiln, Zonelion Taeda</t>
  </si>
  <si>
    <t>Φ1.2×25</t>
  </si>
  <si>
    <t>Φ1.6×32</t>
  </si>
  <si>
    <t>Φ2.2×45</t>
  </si>
  <si>
    <t>Φ2.2×50</t>
  </si>
  <si>
    <t>Φ3.0×48</t>
  </si>
  <si>
    <t>https://www.cementmachinery.com/Cement_Machinery/products/Rotary_kiln_system/Building_materials/2014/0118/1891.html</t>
  </si>
  <si>
    <t>2 - 6</t>
  </si>
  <si>
    <t>https://www.cementmachinery.com/Cement_Machinery/products/Rotary_kiln_system/Building_materials/2020/0410/2679.html</t>
  </si>
  <si>
    <t>7 - 16</t>
  </si>
  <si>
    <t>https://www.cementmachinery.com/Cement_Machinery/products/Rotary_kiln_system/Metallurgy/2024/1208/3514.html</t>
  </si>
  <si>
    <t>17 - 24</t>
  </si>
  <si>
    <t>https://www.xkjgroup.com/products/horizontal-rotary-kiln/large-rotary-kiln.html?5xyFrom=site-NT</t>
  </si>
  <si>
    <t>25 - 39</t>
  </si>
  <si>
    <t>https://www.xkjgroup.com/products/horizontal-rotary-kiln/sludge-ceramsite-rotary-kiln.html?5xyFrom=site-NT</t>
  </si>
  <si>
    <t>40 - 43</t>
  </si>
  <si>
    <t>https://www.xkjgroup.com/products/horizontal-rotary-kiln/lepidolite-rotary-kiln.html?5xyFrom=site-NT</t>
  </si>
  <si>
    <t>44 - 54</t>
  </si>
  <si>
    <t>https://www.xkjgroup.com/products/horizontal-rotary-kiln/spodumene-rotary-kiln.html?5xyFrom=site-NT</t>
  </si>
  <si>
    <t>55 - 75</t>
  </si>
  <si>
    <t>https://www.xkjgroup.com/products/horizontal-rotary-kiln/kaolin-rotary-kiln.html?5xyFrom=site-NT</t>
  </si>
  <si>
    <t>76 - 91</t>
  </si>
  <si>
    <t>https://www.hntaida.com/Zinc-oxide-rotary-kiln.html</t>
  </si>
  <si>
    <t>92 - 93</t>
  </si>
  <si>
    <t>https://www.hntaida.com/Ceramic-sand-rotary-kiln.html</t>
  </si>
  <si>
    <t>94 - 98</t>
  </si>
  <si>
    <t>https://www.hntaida.com/Calcium-aluminate-kiln.html</t>
  </si>
  <si>
    <t>99 - 105</t>
  </si>
  <si>
    <t>https://www.hntaida.com/Kaolin-Calcining-Kiln.html</t>
  </si>
  <si>
    <t>106 - 111</t>
  </si>
  <si>
    <t>https://www.hntaida.com/Rotary-Calcining-Kiln.html</t>
  </si>
  <si>
    <t>112 - 120</t>
  </si>
  <si>
    <t>Diameter</t>
  </si>
  <si>
    <t>Agitator Rotational Speed</t>
  </si>
  <si>
    <t>Mixer Rotational Speed</t>
  </si>
  <si>
    <t>#5991216 (PF 15, 30)</t>
  </si>
  <si>
    <t>#5991216 (PF 15, 25)</t>
  </si>
  <si>
    <t>#5991216 (PF 15, 35)</t>
  </si>
  <si>
    <t>#5991216 (PF 15, 40)</t>
  </si>
  <si>
    <t>#5991216 (PF 15, 45)</t>
  </si>
  <si>
    <t>#5991216 (PF 15, 50)</t>
  </si>
  <si>
    <t>#5991216 (PF 15, 55)</t>
  </si>
  <si>
    <t>#5991216 (PF 15, 60)</t>
  </si>
  <si>
    <t>hydraulic unit motor.</t>
  </si>
  <si>
    <t>vacuum pump, filter drive, agitator drive, scraper knife (retraction and advance).</t>
  </si>
  <si>
    <t>hydraulic closing and automatic cake discharge.</t>
  </si>
  <si>
    <t>agitator power.</t>
  </si>
  <si>
    <t>drum drive, agitator motor.</t>
  </si>
  <si>
    <t>1 - 13</t>
  </si>
  <si>
    <t>14 - 27</t>
  </si>
  <si>
    <t>28 - 60</t>
  </si>
  <si>
    <t>Agitator Power</t>
  </si>
  <si>
    <t>Raise/Lower Power</t>
  </si>
  <si>
    <t>Discharge</t>
  </si>
  <si>
    <t>Combined hydraulically driven agitator and hydraulic cylinder for raising and lowering of bottom filter plate.</t>
  </si>
  <si>
    <t>hydraulic powerpack drive for agitation.</t>
  </si>
  <si>
    <t>hydraulic power pack for agitation.</t>
  </si>
  <si>
    <t>Combined hydraulically driven agitator and lift mechanism.</t>
  </si>
  <si>
    <t>Combined hydraulic powerpack.</t>
  </si>
  <si>
    <t>(agitation) drive hydraulic motor.</t>
  </si>
  <si>
    <t>main motor, hydraulic motor for raise/lowering.</t>
  </si>
  <si>
    <t>main drive, includes hydraulic pack.</t>
  </si>
  <si>
    <t>Agitator motor.</t>
  </si>
  <si>
    <t>61 - 149</t>
  </si>
  <si>
    <t>150 - 152</t>
  </si>
  <si>
    <t>Rotary Kiln Subtype</t>
  </si>
  <si>
    <t>Dryer Subtype</t>
  </si>
  <si>
    <t>Filter Subtype</t>
  </si>
  <si>
    <t>Mixer Subtype</t>
  </si>
  <si>
    <t>Tank Subtype</t>
  </si>
  <si>
    <t>Filter Surface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</si>
</sst>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right"/>
    </xf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2" borderId="4" xfId="0" applyFont="1" applyFill="1" applyBorder="1"/>
    <xf numFmtId="0" fontId="2" fillId="0" borderId="1" xfId="1" applyBorder="1"/>
    <xf numFmtId="0" fontId="1" fillId="2" borderId="3" xfId="0" applyFont="1" applyFill="1" applyBorder="1"/>
    <xf numFmtId="0" fontId="2" fillId="0" borderId="8" xfId="1" applyBorder="1"/>
    <xf numFmtId="0" fontId="0" fillId="0" borderId="6" xfId="0" quotePrefix="1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0" fillId="0" borderId="16" xfId="0" applyBorder="1" applyAlignment="1">
      <alignment horizontal="right"/>
    </xf>
    <xf numFmtId="0" fontId="0" fillId="0" borderId="17" xfId="0" applyBorder="1"/>
    <xf numFmtId="0" fontId="1" fillId="2" borderId="18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3" borderId="1" xfId="0" applyFill="1" applyBorder="1" applyAlignment="1">
      <alignment horizontal="left"/>
    </xf>
    <xf numFmtId="0" fontId="2" fillId="0" borderId="10" xfId="1" applyBorder="1" applyAlignment="1">
      <alignment horizontal="left"/>
    </xf>
    <xf numFmtId="0" fontId="0" fillId="0" borderId="11" xfId="0" applyBorder="1" applyAlignment="1">
      <alignment horizontal="left"/>
    </xf>
    <xf numFmtId="0" fontId="2" fillId="0" borderId="12" xfId="1" applyBorder="1" applyAlignment="1">
      <alignment horizontal="left"/>
    </xf>
    <xf numFmtId="0" fontId="0" fillId="0" borderId="13" xfId="0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1" fillId="2" borderId="15" xfId="0" applyFont="1" applyFill="1" applyBorder="1" applyAlignment="1">
      <alignment horizontal="left"/>
    </xf>
    <xf numFmtId="0" fontId="2" fillId="0" borderId="1" xfId="1" applyBorder="1" applyAlignment="1">
      <alignment horizontal="left"/>
    </xf>
    <xf numFmtId="0" fontId="0" fillId="0" borderId="1" xfId="0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0" borderId="8" xfId="1" applyBorder="1" applyAlignment="1">
      <alignment horizontal="left"/>
    </xf>
    <xf numFmtId="0" fontId="0" fillId="0" borderId="8" xfId="0" applyBorder="1" applyAlignment="1">
      <alignment horizontal="left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2" fillId="0" borderId="11" xfId="1" applyBorder="1" applyAlignment="1">
      <alignment horizontal="left"/>
    </xf>
    <xf numFmtId="0" fontId="2" fillId="0" borderId="13" xfId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skengitech.com/" TargetMode="External"/><Relationship Id="rId2" Type="http://schemas.openxmlformats.org/officeDocument/2006/relationships/hyperlink" Target="https://www.zoneding.com/mixer.html" TargetMode="External"/><Relationship Id="rId1" Type="http://schemas.openxmlformats.org/officeDocument/2006/relationships/hyperlink" Target="https://www.machineryandequipment.com/" TargetMode="External"/><Relationship Id="rId4" Type="http://schemas.openxmlformats.org/officeDocument/2006/relationships/hyperlink" Target="https://www.chinaspraydryer.co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ncmachine.com/products/double-cone-blender/" TargetMode="External"/><Relationship Id="rId13" Type="http://schemas.openxmlformats.org/officeDocument/2006/relationships/hyperlink" Target="https://www.sieheindustry.com/product_detail/nauta-mixer" TargetMode="External"/><Relationship Id="rId18" Type="http://schemas.openxmlformats.org/officeDocument/2006/relationships/hyperlink" Target="https://www.jskengitech.com/products/double-cone-blender/" TargetMode="External"/><Relationship Id="rId3" Type="http://schemas.openxmlformats.org/officeDocument/2006/relationships/hyperlink" Target="https://www.permixmixers.com/powder-mixers/permix-v-blender/" TargetMode="External"/><Relationship Id="rId7" Type="http://schemas.openxmlformats.org/officeDocument/2006/relationships/hyperlink" Target="https://incmachine.com/products/ribbon-blender-mixer/" TargetMode="External"/><Relationship Id="rId12" Type="http://schemas.openxmlformats.org/officeDocument/2006/relationships/hyperlink" Target="https://www.sieheindustry.com/product_detail/horizontal-ribbon-mixer" TargetMode="External"/><Relationship Id="rId17" Type="http://schemas.openxmlformats.org/officeDocument/2006/relationships/hyperlink" Target="https://www.sieheindustry.com/product_detail/three-dimensional-blender" TargetMode="External"/><Relationship Id="rId2" Type="http://schemas.openxmlformats.org/officeDocument/2006/relationships/hyperlink" Target="https://www.permixmixers.com/powder-mixers/permix-conical-mixer/" TargetMode="External"/><Relationship Id="rId16" Type="http://schemas.openxmlformats.org/officeDocument/2006/relationships/hyperlink" Target="https://www.sieheindustry.com/product_detail/double-cone-mixer" TargetMode="External"/><Relationship Id="rId1" Type="http://schemas.openxmlformats.org/officeDocument/2006/relationships/hyperlink" Target="https://www.machineryandequipment.com/" TargetMode="External"/><Relationship Id="rId6" Type="http://schemas.openxmlformats.org/officeDocument/2006/relationships/hyperlink" Target="https://hosokawa-micron-bv.com/process-solutions/powder-mixers/nauta-conical-screw-mixer" TargetMode="External"/><Relationship Id="rId11" Type="http://schemas.openxmlformats.org/officeDocument/2006/relationships/hyperlink" Target="https://hosokawa-micron-bv.com/process-solutions/lab-equipment/nauta-minimix" TargetMode="External"/><Relationship Id="rId5" Type="http://schemas.openxmlformats.org/officeDocument/2006/relationships/hyperlink" Target="https://www.permixmixers.com/powder-mixers/permix-vertical-paddle-mixer/" TargetMode="External"/><Relationship Id="rId15" Type="http://schemas.openxmlformats.org/officeDocument/2006/relationships/hyperlink" Target="https://www.sieheindustry.com/product_detail/v-shape-mixer" TargetMode="External"/><Relationship Id="rId10" Type="http://schemas.openxmlformats.org/officeDocument/2006/relationships/hyperlink" Target="https://incmachine.com/products/v-type-blender/" TargetMode="External"/><Relationship Id="rId19" Type="http://schemas.openxmlformats.org/officeDocument/2006/relationships/hyperlink" Target="https://www.jskengitech.com/product/ribbon-blender/" TargetMode="External"/><Relationship Id="rId4" Type="http://schemas.openxmlformats.org/officeDocument/2006/relationships/hyperlink" Target="https://www.permixmixers.com/powder-mixers/permix-3d-mixer/" TargetMode="External"/><Relationship Id="rId9" Type="http://schemas.openxmlformats.org/officeDocument/2006/relationships/hyperlink" Target="https://incmachine.com/products/jhx-double-movement-mixer/" TargetMode="External"/><Relationship Id="rId14" Type="http://schemas.openxmlformats.org/officeDocument/2006/relationships/hyperlink" Target="https://www.sieheindustry.com/product_detail/vertical-conical-ribbon-mixe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erry-equipment.com/" TargetMode="External"/><Relationship Id="rId2" Type="http://schemas.openxmlformats.org/officeDocument/2006/relationships/hyperlink" Target="https://www.toptiontech.com/nutsche-filter/nutsche-filter-dryer.html" TargetMode="External"/><Relationship Id="rId1" Type="http://schemas.openxmlformats.org/officeDocument/2006/relationships/hyperlink" Target="https://www.machineryandequipment.com/" TargetMode="External"/><Relationship Id="rId5" Type="http://schemas.openxmlformats.org/officeDocument/2006/relationships/hyperlink" Target="http://www.savonaequipment.com/" TargetMode="External"/><Relationship Id="rId4" Type="http://schemas.openxmlformats.org/officeDocument/2006/relationships/hyperlink" Target="https://sinofilterpress.en.made-in-china.com/product/IszQGFjOZfWA/China-Plate-Frame-Filter-Press-Specification-Sheet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skengitech.com/" TargetMode="External"/><Relationship Id="rId3" Type="http://schemas.openxmlformats.org/officeDocument/2006/relationships/hyperlink" Target="https://www.hywellco.com/" TargetMode="External"/><Relationship Id="rId7" Type="http://schemas.openxmlformats.org/officeDocument/2006/relationships/hyperlink" Target="http://www.drying-solution.com/" TargetMode="External"/><Relationship Id="rId12" Type="http://schemas.openxmlformats.org/officeDocument/2006/relationships/hyperlink" Target="https://www.perry-equipment.com/" TargetMode="External"/><Relationship Id="rId2" Type="http://schemas.openxmlformats.org/officeDocument/2006/relationships/hyperlink" Target="https://gxdrying.com/" TargetMode="External"/><Relationship Id="rId1" Type="http://schemas.openxmlformats.org/officeDocument/2006/relationships/hyperlink" Target="https://www.machineryandequipment.com/" TargetMode="External"/><Relationship Id="rId6" Type="http://schemas.openxmlformats.org/officeDocument/2006/relationships/hyperlink" Target="https://www.thoyu.com/" TargetMode="External"/><Relationship Id="rId11" Type="http://schemas.openxmlformats.org/officeDocument/2006/relationships/hyperlink" Target="https://www.griffinmachinery.com/" TargetMode="External"/><Relationship Id="rId5" Type="http://schemas.openxmlformats.org/officeDocument/2006/relationships/hyperlink" Target="https://nredcap.in/PDFs/BEE_manuals/BEST_PRACTICE_MANUAL_DRYERS.pdf" TargetMode="External"/><Relationship Id="rId10" Type="http://schemas.openxmlformats.org/officeDocument/2006/relationships/hyperlink" Target="https://www.guanfengmachine.com/" TargetMode="External"/><Relationship Id="rId4" Type="http://schemas.openxmlformats.org/officeDocument/2006/relationships/hyperlink" Target="https://www.andritz.com/" TargetMode="External"/><Relationship Id="rId9" Type="http://schemas.openxmlformats.org/officeDocument/2006/relationships/hyperlink" Target="https://www.chinaspraydryer.com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xkjgroup.com/products/horizontal-rotary-kiln/spodumene-rotary-kiln.html?5xyFrom=site-NT" TargetMode="External"/><Relationship Id="rId13" Type="http://schemas.openxmlformats.org/officeDocument/2006/relationships/hyperlink" Target="https://www.hntaida.com/Kaolin-Calcining-Kiln.html" TargetMode="External"/><Relationship Id="rId3" Type="http://schemas.openxmlformats.org/officeDocument/2006/relationships/hyperlink" Target="https://www.cementmachinery.com/Cement_Machinery/products/Rotary_kiln_system/Building_materials/2020/0410/2679.html" TargetMode="External"/><Relationship Id="rId7" Type="http://schemas.openxmlformats.org/officeDocument/2006/relationships/hyperlink" Target="https://www.xkjgroup.com/products/horizontal-rotary-kiln/lepidolite-rotary-kiln.html?5xyFrom=site-NT" TargetMode="External"/><Relationship Id="rId12" Type="http://schemas.openxmlformats.org/officeDocument/2006/relationships/hyperlink" Target="https://www.hntaida.com/Calcium-aluminate-kiln.html" TargetMode="External"/><Relationship Id="rId2" Type="http://schemas.openxmlformats.org/officeDocument/2006/relationships/hyperlink" Target="https://www.cementmachinery.com/Cement_Machinery/products/Rotary_kiln_system/Building_materials/2014/0118/1891.html" TargetMode="External"/><Relationship Id="rId1" Type="http://schemas.openxmlformats.org/officeDocument/2006/relationships/hyperlink" Target="https://www.machineryandequipment.com/" TargetMode="External"/><Relationship Id="rId6" Type="http://schemas.openxmlformats.org/officeDocument/2006/relationships/hyperlink" Target="https://www.xkjgroup.com/products/horizontal-rotary-kiln/sludge-ceramsite-rotary-kiln.html?5xyFrom=site-NT" TargetMode="External"/><Relationship Id="rId11" Type="http://schemas.openxmlformats.org/officeDocument/2006/relationships/hyperlink" Target="https://www.hntaida.com/Ceramic-sand-rotary-kiln.html" TargetMode="External"/><Relationship Id="rId5" Type="http://schemas.openxmlformats.org/officeDocument/2006/relationships/hyperlink" Target="https://www.xkjgroup.com/products/horizontal-rotary-kiln/large-rotary-kiln.html?5xyFrom=site-NT" TargetMode="External"/><Relationship Id="rId10" Type="http://schemas.openxmlformats.org/officeDocument/2006/relationships/hyperlink" Target="https://www.hntaida.com/Zinc-oxide-rotary-kiln.html" TargetMode="External"/><Relationship Id="rId4" Type="http://schemas.openxmlformats.org/officeDocument/2006/relationships/hyperlink" Target="https://www.cementmachinery.com/Cement_Machinery/products/Rotary_kiln_system/Metallurgy/2024/1208/3514.html" TargetMode="External"/><Relationship Id="rId9" Type="http://schemas.openxmlformats.org/officeDocument/2006/relationships/hyperlink" Target="https://www.xkjgroup.com/products/horizontal-rotary-kiln/kaolin-rotary-kiln.html?5xyFrom=site-NT" TargetMode="External"/><Relationship Id="rId14" Type="http://schemas.openxmlformats.org/officeDocument/2006/relationships/hyperlink" Target="https://www.hntaida.com/Rotary-Calcining-Kil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2C685-6F35-49A4-AB8E-DE99D2EBE679}">
  <dimension ref="A1:P160"/>
  <sheetViews>
    <sheetView zoomScale="80" zoomScaleNormal="80" workbookViewId="0">
      <pane ySplit="1" topLeftCell="A2" activePane="bottomLeft" state="frozen"/>
      <selection pane="bottomLeft" activeCell="D1" sqref="D1"/>
    </sheetView>
  </sheetViews>
  <sheetFormatPr defaultColWidth="9.109375" defaultRowHeight="14.4" x14ac:dyDescent="0.3"/>
  <cols>
    <col min="1" max="1" width="9.33203125" style="2" bestFit="1" customWidth="1"/>
    <col min="2" max="2" width="40.33203125" style="3" customWidth="1"/>
    <col min="3" max="3" width="14" style="3" bestFit="1" customWidth="1"/>
    <col min="4" max="4" width="16.33203125" style="5" bestFit="1" customWidth="1"/>
    <col min="5" max="5" width="7.88671875" style="2" bestFit="1" customWidth="1"/>
    <col min="6" max="6" width="18.44140625" style="5" bestFit="1" customWidth="1"/>
    <col min="7" max="7" width="7.88671875" style="2" bestFit="1" customWidth="1"/>
    <col min="8" max="8" width="12.33203125" style="5" bestFit="1" customWidth="1"/>
    <col min="9" max="9" width="4.88671875" style="3" bestFit="1" customWidth="1"/>
    <col min="10" max="10" width="29" style="2" bestFit="1" customWidth="1"/>
    <col min="11" max="11" width="22" style="5" bestFit="1" customWidth="1"/>
    <col min="12" max="12" width="4.88671875" style="2" bestFit="1" customWidth="1"/>
    <col min="13" max="13" width="32.109375" style="3" bestFit="1" customWidth="1"/>
    <col min="14" max="14" width="34.33203125" style="3" bestFit="1" customWidth="1"/>
    <col min="15" max="15" width="39" style="3" bestFit="1" customWidth="1"/>
    <col min="16" max="16384" width="9.109375" style="2"/>
  </cols>
  <sheetData>
    <row r="1" spans="1:16" x14ac:dyDescent="0.3">
      <c r="A1" s="14" t="s">
        <v>236</v>
      </c>
      <c r="B1" s="15" t="s">
        <v>0</v>
      </c>
      <c r="C1" s="15" t="s">
        <v>1319</v>
      </c>
      <c r="D1" s="15" t="s">
        <v>1</v>
      </c>
      <c r="E1" s="15" t="s">
        <v>2</v>
      </c>
      <c r="F1" s="15" t="s">
        <v>3</v>
      </c>
      <c r="G1" s="15" t="s">
        <v>2</v>
      </c>
      <c r="H1" s="15" t="s">
        <v>4</v>
      </c>
      <c r="I1" s="21" t="s">
        <v>2</v>
      </c>
      <c r="J1" s="15" t="s">
        <v>5</v>
      </c>
      <c r="K1" s="15" t="s">
        <v>6</v>
      </c>
      <c r="L1" s="15" t="s">
        <v>2</v>
      </c>
      <c r="M1" s="15" t="s">
        <v>7</v>
      </c>
      <c r="N1" s="15" t="s">
        <v>8</v>
      </c>
      <c r="O1" s="16" t="s">
        <v>9</v>
      </c>
      <c r="P1" s="1"/>
    </row>
    <row r="2" spans="1:16" x14ac:dyDescent="0.3">
      <c r="A2" s="17">
        <v>1</v>
      </c>
      <c r="B2" s="6" t="s">
        <v>10</v>
      </c>
      <c r="C2" s="6" t="s">
        <v>238</v>
      </c>
      <c r="D2" s="7">
        <v>2506.1400000000003</v>
      </c>
      <c r="E2" s="8" t="s">
        <v>11</v>
      </c>
      <c r="F2" s="7">
        <v>2000</v>
      </c>
      <c r="G2" s="8" t="s">
        <v>11</v>
      </c>
      <c r="H2" s="7">
        <v>15</v>
      </c>
      <c r="I2" s="6" t="s">
        <v>12</v>
      </c>
      <c r="J2" s="8" t="s">
        <v>13</v>
      </c>
      <c r="K2" s="7" t="s">
        <v>13</v>
      </c>
      <c r="L2" s="8" t="s">
        <v>20</v>
      </c>
      <c r="M2" s="6" t="s">
        <v>15</v>
      </c>
      <c r="N2" s="6" t="s">
        <v>16</v>
      </c>
      <c r="O2" s="9" t="s">
        <v>17</v>
      </c>
    </row>
    <row r="3" spans="1:16" x14ac:dyDescent="0.3">
      <c r="A3" s="17">
        <v>2</v>
      </c>
      <c r="B3" s="6" t="s">
        <v>18</v>
      </c>
      <c r="C3" s="6" t="s">
        <v>238</v>
      </c>
      <c r="D3" s="7">
        <v>1480.55</v>
      </c>
      <c r="E3" s="8" t="s">
        <v>11</v>
      </c>
      <c r="F3" s="7">
        <v>1000</v>
      </c>
      <c r="G3" s="8" t="s">
        <v>11</v>
      </c>
      <c r="H3" s="7">
        <v>7.5</v>
      </c>
      <c r="I3" s="6" t="s">
        <v>12</v>
      </c>
      <c r="J3" s="8" t="s">
        <v>13</v>
      </c>
      <c r="K3" s="7" t="s">
        <v>13</v>
      </c>
      <c r="L3" s="8" t="s">
        <v>20</v>
      </c>
      <c r="M3" s="6" t="s">
        <v>15</v>
      </c>
      <c r="N3" s="6" t="s">
        <v>16</v>
      </c>
      <c r="O3" s="9" t="s">
        <v>17</v>
      </c>
    </row>
    <row r="4" spans="1:16" x14ac:dyDescent="0.3">
      <c r="A4" s="17">
        <v>3</v>
      </c>
      <c r="B4" s="6" t="s">
        <v>19</v>
      </c>
      <c r="C4" s="6" t="s">
        <v>238</v>
      </c>
      <c r="D4" s="7" t="s">
        <v>13</v>
      </c>
      <c r="E4" s="8" t="s">
        <v>20</v>
      </c>
      <c r="F4" s="7">
        <v>600</v>
      </c>
      <c r="G4" s="8" t="s">
        <v>11</v>
      </c>
      <c r="H4" s="7">
        <v>5</v>
      </c>
      <c r="I4" s="6" t="s">
        <v>12</v>
      </c>
      <c r="J4" s="8" t="s">
        <v>13</v>
      </c>
      <c r="K4" s="7" t="s">
        <v>13</v>
      </c>
      <c r="L4" s="8" t="s">
        <v>20</v>
      </c>
      <c r="M4" s="6" t="s">
        <v>15</v>
      </c>
      <c r="N4" s="6" t="s">
        <v>16</v>
      </c>
      <c r="O4" s="9" t="s">
        <v>17</v>
      </c>
    </row>
    <row r="5" spans="1:16" x14ac:dyDescent="0.3">
      <c r="A5" s="17">
        <v>4</v>
      </c>
      <c r="B5" s="6" t="s">
        <v>21</v>
      </c>
      <c r="C5" s="6" t="s">
        <v>238</v>
      </c>
      <c r="D5" s="7">
        <v>587.52</v>
      </c>
      <c r="E5" s="8" t="s">
        <v>11</v>
      </c>
      <c r="F5" s="7">
        <v>550</v>
      </c>
      <c r="G5" s="8" t="s">
        <v>11</v>
      </c>
      <c r="H5" s="7">
        <v>7.5</v>
      </c>
      <c r="I5" s="6" t="s">
        <v>12</v>
      </c>
      <c r="J5" s="8" t="s">
        <v>13</v>
      </c>
      <c r="K5" s="7" t="s">
        <v>13</v>
      </c>
      <c r="L5" s="8" t="s">
        <v>20</v>
      </c>
      <c r="M5" s="6" t="s">
        <v>15</v>
      </c>
      <c r="N5" s="6" t="s">
        <v>16</v>
      </c>
      <c r="O5" s="9" t="s">
        <v>17</v>
      </c>
    </row>
    <row r="6" spans="1:16" x14ac:dyDescent="0.3">
      <c r="A6" s="17">
        <v>5</v>
      </c>
      <c r="B6" s="6" t="s">
        <v>22</v>
      </c>
      <c r="C6" s="6" t="s">
        <v>238</v>
      </c>
      <c r="D6" s="7" t="s">
        <v>13</v>
      </c>
      <c r="E6" s="8" t="s">
        <v>20</v>
      </c>
      <c r="F6" s="7">
        <v>500</v>
      </c>
      <c r="G6" s="8" t="s">
        <v>11</v>
      </c>
      <c r="H6" s="7">
        <v>5</v>
      </c>
      <c r="I6" s="6" t="s">
        <v>12</v>
      </c>
      <c r="J6" s="8" t="s">
        <v>13</v>
      </c>
      <c r="K6" s="7">
        <v>117</v>
      </c>
      <c r="L6" s="8" t="s">
        <v>23</v>
      </c>
      <c r="M6" s="6" t="s">
        <v>15</v>
      </c>
      <c r="N6" s="6" t="s">
        <v>24</v>
      </c>
      <c r="O6" s="9" t="s">
        <v>17</v>
      </c>
    </row>
    <row r="7" spans="1:16" x14ac:dyDescent="0.3">
      <c r="A7" s="17">
        <v>6</v>
      </c>
      <c r="B7" s="6" t="s">
        <v>25</v>
      </c>
      <c r="C7" s="6" t="s">
        <v>238</v>
      </c>
      <c r="D7" s="7">
        <v>575.04</v>
      </c>
      <c r="E7" s="8" t="s">
        <v>11</v>
      </c>
      <c r="F7" s="7">
        <v>500</v>
      </c>
      <c r="G7" s="8" t="s">
        <v>11</v>
      </c>
      <c r="H7" s="7">
        <v>10</v>
      </c>
      <c r="I7" s="6" t="s">
        <v>12</v>
      </c>
      <c r="J7" s="8" t="s">
        <v>13</v>
      </c>
      <c r="K7" s="7">
        <v>117</v>
      </c>
      <c r="L7" s="8" t="s">
        <v>23</v>
      </c>
      <c r="M7" s="6" t="s">
        <v>15</v>
      </c>
      <c r="N7" s="6" t="s">
        <v>26</v>
      </c>
      <c r="O7" s="9" t="s">
        <v>17</v>
      </c>
    </row>
    <row r="8" spans="1:16" x14ac:dyDescent="0.3">
      <c r="A8" s="17">
        <v>7</v>
      </c>
      <c r="B8" s="6" t="s">
        <v>27</v>
      </c>
      <c r="C8" s="6" t="s">
        <v>238</v>
      </c>
      <c r="D8" s="7">
        <v>201.69</v>
      </c>
      <c r="E8" s="8" t="s">
        <v>11</v>
      </c>
      <c r="F8" s="7">
        <v>200</v>
      </c>
      <c r="G8" s="8" t="s">
        <v>11</v>
      </c>
      <c r="H8" s="7">
        <v>2</v>
      </c>
      <c r="I8" s="6" t="s">
        <v>12</v>
      </c>
      <c r="J8" s="8" t="s">
        <v>13</v>
      </c>
      <c r="K8" s="7" t="s">
        <v>13</v>
      </c>
      <c r="L8" s="8" t="s">
        <v>20</v>
      </c>
      <c r="M8" s="6" t="s">
        <v>15</v>
      </c>
      <c r="N8" s="6" t="s">
        <v>16</v>
      </c>
      <c r="O8" s="9" t="s">
        <v>17</v>
      </c>
    </row>
    <row r="9" spans="1:16" x14ac:dyDescent="0.3">
      <c r="A9" s="17">
        <v>8</v>
      </c>
      <c r="B9" s="6" t="s">
        <v>28</v>
      </c>
      <c r="C9" s="6" t="s">
        <v>238</v>
      </c>
      <c r="D9" s="7">
        <v>47.01</v>
      </c>
      <c r="E9" s="8" t="s">
        <v>11</v>
      </c>
      <c r="F9" s="7">
        <v>50</v>
      </c>
      <c r="G9" s="8" t="s">
        <v>11</v>
      </c>
      <c r="H9" s="7">
        <v>4.91</v>
      </c>
      <c r="I9" s="6" t="s">
        <v>12</v>
      </c>
      <c r="J9" s="8" t="s">
        <v>13</v>
      </c>
      <c r="K9" s="7" t="s">
        <v>13</v>
      </c>
      <c r="L9" s="8" t="s">
        <v>20</v>
      </c>
      <c r="M9" s="6" t="s">
        <v>15</v>
      </c>
      <c r="N9" s="6" t="s">
        <v>16</v>
      </c>
      <c r="O9" s="9" t="s">
        <v>17</v>
      </c>
    </row>
    <row r="10" spans="1:16" x14ac:dyDescent="0.3">
      <c r="A10" s="17">
        <v>9</v>
      </c>
      <c r="B10" s="6" t="s">
        <v>29</v>
      </c>
      <c r="C10" s="6" t="s">
        <v>238</v>
      </c>
      <c r="D10" s="7" t="s">
        <v>13</v>
      </c>
      <c r="E10" s="8" t="s">
        <v>20</v>
      </c>
      <c r="F10" s="7">
        <v>20</v>
      </c>
      <c r="G10" s="8" t="s">
        <v>11</v>
      </c>
      <c r="H10" s="7">
        <v>1.5</v>
      </c>
      <c r="I10" s="6" t="s">
        <v>12</v>
      </c>
      <c r="J10" s="8" t="s">
        <v>13</v>
      </c>
      <c r="K10" s="7" t="s">
        <v>13</v>
      </c>
      <c r="L10" s="8" t="s">
        <v>20</v>
      </c>
      <c r="M10" s="6" t="s">
        <v>15</v>
      </c>
      <c r="N10" s="6" t="s">
        <v>30</v>
      </c>
      <c r="O10" s="9" t="s">
        <v>31</v>
      </c>
    </row>
    <row r="11" spans="1:16" x14ac:dyDescent="0.3">
      <c r="A11" s="17">
        <v>10</v>
      </c>
      <c r="B11" s="6" t="s">
        <v>32</v>
      </c>
      <c r="C11" s="6" t="s">
        <v>238</v>
      </c>
      <c r="D11" s="7" t="s">
        <v>13</v>
      </c>
      <c r="E11" s="8" t="s">
        <v>20</v>
      </c>
      <c r="F11" s="7">
        <v>10</v>
      </c>
      <c r="G11" s="8" t="s">
        <v>11</v>
      </c>
      <c r="H11" s="7">
        <v>2</v>
      </c>
      <c r="I11" s="6" t="s">
        <v>12</v>
      </c>
      <c r="J11" s="8" t="s">
        <v>13</v>
      </c>
      <c r="K11" s="7">
        <v>350</v>
      </c>
      <c r="L11" s="8" t="s">
        <v>23</v>
      </c>
      <c r="M11" s="6" t="s">
        <v>15</v>
      </c>
      <c r="N11" s="6" t="s">
        <v>16</v>
      </c>
      <c r="O11" s="9" t="s">
        <v>33</v>
      </c>
    </row>
    <row r="12" spans="1:16" x14ac:dyDescent="0.3">
      <c r="A12" s="17">
        <v>11</v>
      </c>
      <c r="B12" s="6" t="s">
        <v>34</v>
      </c>
      <c r="C12" s="6" t="s">
        <v>238</v>
      </c>
      <c r="D12" s="7" t="s">
        <v>13</v>
      </c>
      <c r="E12" s="8" t="s">
        <v>20</v>
      </c>
      <c r="F12" s="7">
        <v>25</v>
      </c>
      <c r="G12" s="8" t="s">
        <v>11</v>
      </c>
      <c r="H12" s="7">
        <v>0.5</v>
      </c>
      <c r="I12" s="6" t="s">
        <v>12</v>
      </c>
      <c r="J12" s="8">
        <v>0.755</v>
      </c>
      <c r="K12" s="7" t="s">
        <v>13</v>
      </c>
      <c r="L12" s="8" t="s">
        <v>20</v>
      </c>
      <c r="M12" s="6" t="s">
        <v>15</v>
      </c>
      <c r="N12" s="6" t="s">
        <v>35</v>
      </c>
      <c r="O12" s="9" t="s">
        <v>36</v>
      </c>
    </row>
    <row r="13" spans="1:16" x14ac:dyDescent="0.3">
      <c r="A13" s="17">
        <v>12</v>
      </c>
      <c r="B13" s="6" t="s">
        <v>37</v>
      </c>
      <c r="C13" s="6" t="s">
        <v>238</v>
      </c>
      <c r="D13" s="7">
        <v>652.79999999999995</v>
      </c>
      <c r="E13" s="8" t="s">
        <v>11</v>
      </c>
      <c r="F13" s="7">
        <v>700</v>
      </c>
      <c r="G13" s="8" t="s">
        <v>11</v>
      </c>
      <c r="H13" s="7">
        <v>5</v>
      </c>
      <c r="I13" s="6" t="s">
        <v>12</v>
      </c>
      <c r="J13" s="8" t="s">
        <v>13</v>
      </c>
      <c r="K13" s="7" t="s">
        <v>14</v>
      </c>
      <c r="L13" s="8" t="s">
        <v>20</v>
      </c>
      <c r="M13" s="6" t="s">
        <v>15</v>
      </c>
      <c r="N13" s="6" t="s">
        <v>38</v>
      </c>
      <c r="O13" s="9" t="s">
        <v>13</v>
      </c>
    </row>
    <row r="14" spans="1:16" x14ac:dyDescent="0.3">
      <c r="A14" s="17">
        <v>13</v>
      </c>
      <c r="B14" s="6" t="s">
        <v>39</v>
      </c>
      <c r="C14" s="6" t="s">
        <v>238</v>
      </c>
      <c r="D14" s="7">
        <v>282.01</v>
      </c>
      <c r="E14" s="8" t="s">
        <v>11</v>
      </c>
      <c r="F14" s="7">
        <v>300</v>
      </c>
      <c r="G14" s="8" t="s">
        <v>11</v>
      </c>
      <c r="H14" s="7">
        <v>25</v>
      </c>
      <c r="I14" s="6" t="s">
        <v>12</v>
      </c>
      <c r="J14" s="8" t="s">
        <v>13</v>
      </c>
      <c r="K14" s="7" t="s">
        <v>14</v>
      </c>
      <c r="L14" s="8" t="s">
        <v>20</v>
      </c>
      <c r="M14" s="6" t="s">
        <v>40</v>
      </c>
      <c r="N14" s="6" t="s">
        <v>41</v>
      </c>
      <c r="O14" s="9" t="s">
        <v>13</v>
      </c>
    </row>
    <row r="15" spans="1:16" x14ac:dyDescent="0.3">
      <c r="A15" s="17">
        <v>14</v>
      </c>
      <c r="B15" s="6" t="s">
        <v>42</v>
      </c>
      <c r="C15" s="6" t="s">
        <v>238</v>
      </c>
      <c r="D15" s="7">
        <v>1480.55</v>
      </c>
      <c r="E15" s="8" t="s">
        <v>11</v>
      </c>
      <c r="F15" s="7">
        <v>1500</v>
      </c>
      <c r="G15" s="8" t="s">
        <v>11</v>
      </c>
      <c r="H15" s="7">
        <v>7.5</v>
      </c>
      <c r="I15" s="6" t="s">
        <v>12</v>
      </c>
      <c r="J15" s="8" t="s">
        <v>13</v>
      </c>
      <c r="K15" s="7" t="s">
        <v>43</v>
      </c>
      <c r="L15" s="8" t="s">
        <v>23</v>
      </c>
      <c r="M15" s="6" t="s">
        <v>15</v>
      </c>
      <c r="N15" s="6" t="s">
        <v>44</v>
      </c>
      <c r="O15" s="9" t="s">
        <v>45</v>
      </c>
    </row>
    <row r="16" spans="1:16" x14ac:dyDescent="0.3">
      <c r="A16" s="17">
        <v>15</v>
      </c>
      <c r="B16" s="6" t="s">
        <v>46</v>
      </c>
      <c r="C16" s="6" t="s">
        <v>238</v>
      </c>
      <c r="D16" s="7">
        <v>881.28</v>
      </c>
      <c r="E16" s="8" t="s">
        <v>11</v>
      </c>
      <c r="F16" s="7">
        <v>850</v>
      </c>
      <c r="G16" s="8" t="s">
        <v>11</v>
      </c>
      <c r="H16" s="7">
        <v>5</v>
      </c>
      <c r="I16" s="6" t="s">
        <v>12</v>
      </c>
      <c r="J16" s="8" t="s">
        <v>13</v>
      </c>
      <c r="K16" s="7">
        <v>125</v>
      </c>
      <c r="L16" s="8" t="s">
        <v>23</v>
      </c>
      <c r="M16" s="6" t="s">
        <v>15</v>
      </c>
      <c r="N16" s="6" t="s">
        <v>47</v>
      </c>
      <c r="O16" s="9" t="s">
        <v>48</v>
      </c>
    </row>
    <row r="17" spans="1:15" x14ac:dyDescent="0.3">
      <c r="A17" s="17">
        <v>16</v>
      </c>
      <c r="B17" s="6" t="s">
        <v>49</v>
      </c>
      <c r="C17" s="6" t="s">
        <v>238</v>
      </c>
      <c r="D17" s="7">
        <v>832.31999999999994</v>
      </c>
      <c r="E17" s="8" t="s">
        <v>11</v>
      </c>
      <c r="F17" s="7">
        <v>525</v>
      </c>
      <c r="G17" s="8" t="s">
        <v>11</v>
      </c>
      <c r="H17" s="7">
        <v>4</v>
      </c>
      <c r="I17" s="6" t="s">
        <v>12</v>
      </c>
      <c r="J17" s="8" t="s">
        <v>13</v>
      </c>
      <c r="K17" s="7" t="s">
        <v>13</v>
      </c>
      <c r="L17" s="8" t="s">
        <v>20</v>
      </c>
      <c r="M17" s="6" t="s">
        <v>15</v>
      </c>
      <c r="N17" s="6" t="s">
        <v>44</v>
      </c>
      <c r="O17" s="9" t="s">
        <v>50</v>
      </c>
    </row>
    <row r="18" spans="1:15" x14ac:dyDescent="0.3">
      <c r="A18" s="17">
        <v>17</v>
      </c>
      <c r="B18" s="6" t="s">
        <v>51</v>
      </c>
      <c r="C18" s="6" t="s">
        <v>238</v>
      </c>
      <c r="D18" s="7" t="s">
        <v>13</v>
      </c>
      <c r="E18" s="8" t="s">
        <v>20</v>
      </c>
      <c r="F18" s="7">
        <v>300</v>
      </c>
      <c r="G18" s="8" t="s">
        <v>11</v>
      </c>
      <c r="H18" s="7">
        <v>40</v>
      </c>
      <c r="I18" s="6" t="s">
        <v>12</v>
      </c>
      <c r="J18" s="8" t="s">
        <v>13</v>
      </c>
      <c r="K18" s="7" t="s">
        <v>13</v>
      </c>
      <c r="L18" s="8" t="s">
        <v>20</v>
      </c>
      <c r="M18" s="6" t="s">
        <v>15</v>
      </c>
      <c r="N18" s="6" t="s">
        <v>52</v>
      </c>
      <c r="O18" s="9" t="s">
        <v>53</v>
      </c>
    </row>
    <row r="19" spans="1:15" x14ac:dyDescent="0.3">
      <c r="A19" s="17">
        <v>18</v>
      </c>
      <c r="B19" s="6" t="s">
        <v>54</v>
      </c>
      <c r="C19" s="6" t="s">
        <v>238</v>
      </c>
      <c r="D19" s="7">
        <v>176.87</v>
      </c>
      <c r="E19" s="8" t="s">
        <v>11</v>
      </c>
      <c r="F19" s="7">
        <v>265</v>
      </c>
      <c r="G19" s="8" t="s">
        <v>11</v>
      </c>
      <c r="H19" s="7">
        <v>20</v>
      </c>
      <c r="I19" s="6" t="s">
        <v>12</v>
      </c>
      <c r="J19" s="8">
        <v>0.93</v>
      </c>
      <c r="K19" s="7" t="s">
        <v>13</v>
      </c>
      <c r="L19" s="8" t="s">
        <v>20</v>
      </c>
      <c r="M19" s="6" t="s">
        <v>15</v>
      </c>
      <c r="N19" s="6" t="s">
        <v>55</v>
      </c>
      <c r="O19" s="9" t="s">
        <v>13</v>
      </c>
    </row>
    <row r="20" spans="1:15" x14ac:dyDescent="0.3">
      <c r="A20" s="17">
        <v>19</v>
      </c>
      <c r="B20" s="6" t="s">
        <v>56</v>
      </c>
      <c r="C20" s="6" t="s">
        <v>238</v>
      </c>
      <c r="D20" s="7">
        <v>310.28999999999996</v>
      </c>
      <c r="E20" s="8" t="s">
        <v>11</v>
      </c>
      <c r="F20" s="7">
        <v>250</v>
      </c>
      <c r="G20" s="8" t="s">
        <v>11</v>
      </c>
      <c r="H20" s="7">
        <v>5</v>
      </c>
      <c r="I20" s="6" t="s">
        <v>12</v>
      </c>
      <c r="J20" s="8" t="s">
        <v>13</v>
      </c>
      <c r="K20" s="7" t="s">
        <v>13</v>
      </c>
      <c r="L20" s="8" t="s">
        <v>20</v>
      </c>
      <c r="M20" s="6" t="s">
        <v>15</v>
      </c>
      <c r="N20" s="6" t="s">
        <v>52</v>
      </c>
      <c r="O20" s="9" t="s">
        <v>57</v>
      </c>
    </row>
    <row r="21" spans="1:15" x14ac:dyDescent="0.3">
      <c r="A21" s="17">
        <v>20</v>
      </c>
      <c r="B21" s="6" t="s">
        <v>58</v>
      </c>
      <c r="C21" s="6" t="s">
        <v>238</v>
      </c>
      <c r="D21" s="7">
        <v>320.63</v>
      </c>
      <c r="E21" s="8" t="s">
        <v>11</v>
      </c>
      <c r="F21" s="7">
        <v>250</v>
      </c>
      <c r="G21" s="8" t="s">
        <v>11</v>
      </c>
      <c r="H21" s="7">
        <v>3</v>
      </c>
      <c r="I21" s="6" t="s">
        <v>12</v>
      </c>
      <c r="J21" s="8" t="s">
        <v>13</v>
      </c>
      <c r="K21" s="7" t="s">
        <v>13</v>
      </c>
      <c r="L21" s="8" t="s">
        <v>20</v>
      </c>
      <c r="M21" s="6" t="s">
        <v>15</v>
      </c>
      <c r="N21" s="6" t="s">
        <v>52</v>
      </c>
      <c r="O21" s="9" t="s">
        <v>57</v>
      </c>
    </row>
    <row r="22" spans="1:15" x14ac:dyDescent="0.3">
      <c r="A22" s="17">
        <v>21</v>
      </c>
      <c r="B22" s="6" t="s">
        <v>59</v>
      </c>
      <c r="C22" s="6" t="s">
        <v>238</v>
      </c>
      <c r="D22" s="7">
        <v>215.92</v>
      </c>
      <c r="E22" s="8" t="s">
        <v>11</v>
      </c>
      <c r="F22" s="7">
        <v>236</v>
      </c>
      <c r="G22" s="8" t="s">
        <v>11</v>
      </c>
      <c r="H22" s="7">
        <v>15</v>
      </c>
      <c r="I22" s="6" t="s">
        <v>12</v>
      </c>
      <c r="J22" s="8" t="s">
        <v>13</v>
      </c>
      <c r="K22" s="7" t="s">
        <v>60</v>
      </c>
      <c r="L22" s="8" t="s">
        <v>23</v>
      </c>
      <c r="M22" s="6" t="s">
        <v>15</v>
      </c>
      <c r="N22" s="6" t="s">
        <v>61</v>
      </c>
      <c r="O22" s="9" t="s">
        <v>53</v>
      </c>
    </row>
    <row r="23" spans="1:15" x14ac:dyDescent="0.3">
      <c r="A23" s="17">
        <v>22</v>
      </c>
      <c r="B23" s="6" t="s">
        <v>62</v>
      </c>
      <c r="C23" s="6" t="s">
        <v>238</v>
      </c>
      <c r="D23" s="7" t="s">
        <v>13</v>
      </c>
      <c r="E23" s="8" t="s">
        <v>20</v>
      </c>
      <c r="F23" s="7">
        <v>200</v>
      </c>
      <c r="G23" s="8" t="s">
        <v>11</v>
      </c>
      <c r="H23" s="7">
        <v>20</v>
      </c>
      <c r="I23" s="6" t="s">
        <v>12</v>
      </c>
      <c r="J23" s="8" t="s">
        <v>13</v>
      </c>
      <c r="K23" s="7" t="s">
        <v>63</v>
      </c>
      <c r="L23" s="8" t="s">
        <v>23</v>
      </c>
      <c r="M23" s="6" t="s">
        <v>15</v>
      </c>
      <c r="N23" s="6" t="s">
        <v>61</v>
      </c>
      <c r="O23" s="9" t="s">
        <v>53</v>
      </c>
    </row>
    <row r="24" spans="1:15" x14ac:dyDescent="0.3">
      <c r="A24" s="17">
        <v>23</v>
      </c>
      <c r="B24" s="6" t="s">
        <v>64</v>
      </c>
      <c r="C24" s="6" t="s">
        <v>238</v>
      </c>
      <c r="D24" s="7">
        <v>146.22999999999999</v>
      </c>
      <c r="E24" s="8" t="s">
        <v>11</v>
      </c>
      <c r="F24" s="7">
        <v>150</v>
      </c>
      <c r="G24" s="8" t="s">
        <v>11</v>
      </c>
      <c r="H24" s="7">
        <v>1.5</v>
      </c>
      <c r="I24" s="6" t="s">
        <v>12</v>
      </c>
      <c r="J24" s="8" t="s">
        <v>13</v>
      </c>
      <c r="K24" s="7" t="s">
        <v>13</v>
      </c>
      <c r="L24" s="8" t="s">
        <v>20</v>
      </c>
      <c r="M24" s="6" t="s">
        <v>15</v>
      </c>
      <c r="N24" s="6" t="s">
        <v>52</v>
      </c>
      <c r="O24" s="9" t="s">
        <v>65</v>
      </c>
    </row>
    <row r="25" spans="1:15" x14ac:dyDescent="0.3">
      <c r="A25" s="17">
        <v>24</v>
      </c>
      <c r="B25" s="6" t="s">
        <v>66</v>
      </c>
      <c r="C25" s="6" t="s">
        <v>238</v>
      </c>
      <c r="D25" s="7">
        <v>137.23999999999998</v>
      </c>
      <c r="E25" s="8" t="s">
        <v>11</v>
      </c>
      <c r="F25" s="7">
        <v>150</v>
      </c>
      <c r="G25" s="8" t="s">
        <v>11</v>
      </c>
      <c r="H25" s="7">
        <v>2</v>
      </c>
      <c r="I25" s="6" t="s">
        <v>12</v>
      </c>
      <c r="J25" s="8" t="s">
        <v>13</v>
      </c>
      <c r="K25" s="7" t="s">
        <v>13</v>
      </c>
      <c r="L25" s="8" t="s">
        <v>20</v>
      </c>
      <c r="M25" s="6" t="s">
        <v>15</v>
      </c>
      <c r="N25" s="6" t="s">
        <v>52</v>
      </c>
      <c r="O25" s="9" t="s">
        <v>57</v>
      </c>
    </row>
    <row r="26" spans="1:15" x14ac:dyDescent="0.3">
      <c r="A26" s="17">
        <v>25</v>
      </c>
      <c r="B26" s="6" t="s">
        <v>67</v>
      </c>
      <c r="C26" s="6" t="s">
        <v>238</v>
      </c>
      <c r="D26" s="7">
        <v>101.35000000000001</v>
      </c>
      <c r="E26" s="8" t="s">
        <v>11</v>
      </c>
      <c r="F26" s="7">
        <v>105</v>
      </c>
      <c r="G26" s="8" t="s">
        <v>11</v>
      </c>
      <c r="H26" s="7">
        <v>0.5</v>
      </c>
      <c r="I26" s="6" t="s">
        <v>12</v>
      </c>
      <c r="J26" s="8">
        <v>0.755</v>
      </c>
      <c r="K26" s="7" t="s">
        <v>13</v>
      </c>
      <c r="L26" s="8" t="s">
        <v>226</v>
      </c>
      <c r="M26" s="6" t="s">
        <v>15</v>
      </c>
      <c r="N26" s="6" t="s">
        <v>55</v>
      </c>
      <c r="O26" s="9" t="s">
        <v>36</v>
      </c>
    </row>
    <row r="27" spans="1:15" x14ac:dyDescent="0.3">
      <c r="A27" s="17">
        <v>26</v>
      </c>
      <c r="B27" s="6" t="s">
        <v>68</v>
      </c>
      <c r="C27" s="6" t="s">
        <v>238</v>
      </c>
      <c r="D27" s="7">
        <v>70.510000000000005</v>
      </c>
      <c r="E27" s="8" t="s">
        <v>11</v>
      </c>
      <c r="F27" s="7">
        <v>66</v>
      </c>
      <c r="G27" s="8" t="s">
        <v>11</v>
      </c>
      <c r="H27" s="7">
        <v>1</v>
      </c>
      <c r="I27" s="6" t="s">
        <v>12</v>
      </c>
      <c r="J27" s="8" t="s">
        <v>13</v>
      </c>
      <c r="K27" s="7" t="s">
        <v>69</v>
      </c>
      <c r="L27" s="8" t="s">
        <v>23</v>
      </c>
      <c r="M27" s="6" t="s">
        <v>15</v>
      </c>
      <c r="N27" s="6" t="s">
        <v>61</v>
      </c>
      <c r="O27" s="9" t="s">
        <v>45</v>
      </c>
    </row>
    <row r="28" spans="1:15" x14ac:dyDescent="0.3">
      <c r="A28" s="17">
        <v>27</v>
      </c>
      <c r="B28" s="6" t="s">
        <v>70</v>
      </c>
      <c r="C28" s="6" t="s">
        <v>238</v>
      </c>
      <c r="D28" s="7" t="s">
        <v>13</v>
      </c>
      <c r="E28" s="8" t="s">
        <v>20</v>
      </c>
      <c r="F28" s="7">
        <v>50</v>
      </c>
      <c r="G28" s="8" t="s">
        <v>11</v>
      </c>
      <c r="H28" s="7">
        <v>0.33</v>
      </c>
      <c r="I28" s="6" t="s">
        <v>12</v>
      </c>
      <c r="J28" s="8" t="s">
        <v>13</v>
      </c>
      <c r="K28" s="7" t="s">
        <v>13</v>
      </c>
      <c r="L28" s="8" t="s">
        <v>226</v>
      </c>
      <c r="M28" s="6" t="s">
        <v>15</v>
      </c>
      <c r="N28" s="6" t="s">
        <v>55</v>
      </c>
      <c r="O28" s="9" t="s">
        <v>13</v>
      </c>
    </row>
    <row r="29" spans="1:15" x14ac:dyDescent="0.3">
      <c r="A29" s="17">
        <v>28</v>
      </c>
      <c r="B29" s="6" t="s">
        <v>71</v>
      </c>
      <c r="C29" s="6" t="s">
        <v>238</v>
      </c>
      <c r="D29" s="7" t="s">
        <v>13</v>
      </c>
      <c r="E29" s="8" t="s">
        <v>20</v>
      </c>
      <c r="F29" s="7">
        <v>47</v>
      </c>
      <c r="G29" s="8" t="s">
        <v>11</v>
      </c>
      <c r="H29" s="7">
        <v>0.16700000000000001</v>
      </c>
      <c r="I29" s="6" t="s">
        <v>12</v>
      </c>
      <c r="J29" s="8" t="s">
        <v>13</v>
      </c>
      <c r="K29" s="7" t="s">
        <v>13</v>
      </c>
      <c r="L29" s="8" t="s">
        <v>226</v>
      </c>
      <c r="M29" s="6" t="s">
        <v>15</v>
      </c>
      <c r="N29" s="6" t="s">
        <v>44</v>
      </c>
      <c r="O29" s="9" t="s">
        <v>72</v>
      </c>
    </row>
    <row r="30" spans="1:15" x14ac:dyDescent="0.3">
      <c r="A30" s="17">
        <v>29</v>
      </c>
      <c r="B30" s="6" t="s">
        <v>73</v>
      </c>
      <c r="C30" s="6" t="s">
        <v>238</v>
      </c>
      <c r="D30" s="7" t="s">
        <v>13</v>
      </c>
      <c r="E30" s="8" t="s">
        <v>20</v>
      </c>
      <c r="F30" s="7">
        <v>40</v>
      </c>
      <c r="G30" s="8" t="s">
        <v>11</v>
      </c>
      <c r="H30" s="7">
        <v>1</v>
      </c>
      <c r="I30" s="6" t="s">
        <v>12</v>
      </c>
      <c r="J30" s="8" t="s">
        <v>13</v>
      </c>
      <c r="K30" s="7" t="s">
        <v>74</v>
      </c>
      <c r="L30" s="8" t="s">
        <v>23</v>
      </c>
      <c r="M30" s="6" t="s">
        <v>15</v>
      </c>
      <c r="N30" s="6" t="s">
        <v>75</v>
      </c>
      <c r="O30" s="9" t="s">
        <v>36</v>
      </c>
    </row>
    <row r="31" spans="1:15" x14ac:dyDescent="0.3">
      <c r="A31" s="17">
        <v>30</v>
      </c>
      <c r="B31" s="6" t="s">
        <v>76</v>
      </c>
      <c r="C31" s="6" t="s">
        <v>238</v>
      </c>
      <c r="D31" s="7">
        <v>48.96</v>
      </c>
      <c r="E31" s="8" t="s">
        <v>11</v>
      </c>
      <c r="F31" s="7">
        <v>25</v>
      </c>
      <c r="G31" s="8" t="s">
        <v>11</v>
      </c>
      <c r="H31" s="7">
        <v>10</v>
      </c>
      <c r="I31" s="6" t="s">
        <v>12</v>
      </c>
      <c r="J31" s="8" t="s">
        <v>13</v>
      </c>
      <c r="K31" s="7">
        <v>572</v>
      </c>
      <c r="L31" s="8" t="s">
        <v>23</v>
      </c>
      <c r="M31" s="6" t="s">
        <v>15</v>
      </c>
      <c r="N31" s="6" t="s">
        <v>55</v>
      </c>
      <c r="O31" s="9" t="s">
        <v>77</v>
      </c>
    </row>
    <row r="32" spans="1:15" x14ac:dyDescent="0.3">
      <c r="A32" s="17">
        <v>31</v>
      </c>
      <c r="B32" s="6" t="s">
        <v>78</v>
      </c>
      <c r="C32" s="6" t="s">
        <v>238</v>
      </c>
      <c r="D32" s="7" t="s">
        <v>13</v>
      </c>
      <c r="E32" s="8" t="s">
        <v>11</v>
      </c>
      <c r="F32" s="7">
        <v>18</v>
      </c>
      <c r="G32" s="8" t="s">
        <v>11</v>
      </c>
      <c r="H32" s="7">
        <v>3</v>
      </c>
      <c r="I32" s="6" t="s">
        <v>12</v>
      </c>
      <c r="J32" s="8" t="s">
        <v>13</v>
      </c>
      <c r="K32" s="7" t="s">
        <v>13</v>
      </c>
      <c r="L32" s="8" t="s">
        <v>226</v>
      </c>
      <c r="M32" s="6" t="s">
        <v>15</v>
      </c>
      <c r="N32" s="6" t="s">
        <v>44</v>
      </c>
      <c r="O32" s="9" t="s">
        <v>79</v>
      </c>
    </row>
    <row r="33" spans="1:15" x14ac:dyDescent="0.3">
      <c r="A33" s="17">
        <v>32</v>
      </c>
      <c r="B33" s="6" t="s">
        <v>80</v>
      </c>
      <c r="C33" s="6" t="s">
        <v>238</v>
      </c>
      <c r="D33" s="7" t="s">
        <v>13</v>
      </c>
      <c r="E33" s="8" t="s">
        <v>11</v>
      </c>
      <c r="F33" s="7">
        <v>15</v>
      </c>
      <c r="G33" s="8" t="s">
        <v>11</v>
      </c>
      <c r="H33" s="7">
        <v>0.33</v>
      </c>
      <c r="I33" s="6" t="s">
        <v>12</v>
      </c>
      <c r="J33" s="8" t="s">
        <v>13</v>
      </c>
      <c r="K33" s="7" t="s">
        <v>13</v>
      </c>
      <c r="L33" s="8" t="s">
        <v>226</v>
      </c>
      <c r="M33" s="6" t="s">
        <v>15</v>
      </c>
      <c r="N33" s="6" t="s">
        <v>61</v>
      </c>
      <c r="O33" s="9" t="s">
        <v>36</v>
      </c>
    </row>
    <row r="34" spans="1:15" x14ac:dyDescent="0.3">
      <c r="A34" s="17">
        <v>33</v>
      </c>
      <c r="B34" s="6" t="s">
        <v>81</v>
      </c>
      <c r="C34" s="6" t="s">
        <v>238</v>
      </c>
      <c r="D34" s="7" t="s">
        <v>13</v>
      </c>
      <c r="E34" s="8" t="s">
        <v>11</v>
      </c>
      <c r="F34" s="7">
        <v>15</v>
      </c>
      <c r="G34" s="8" t="s">
        <v>11</v>
      </c>
      <c r="H34" s="7">
        <v>3</v>
      </c>
      <c r="I34" s="6" t="s">
        <v>12</v>
      </c>
      <c r="J34" s="8" t="s">
        <v>13</v>
      </c>
      <c r="K34" s="7" t="s">
        <v>13</v>
      </c>
      <c r="L34" s="8" t="s">
        <v>226</v>
      </c>
      <c r="M34" s="6" t="s">
        <v>15</v>
      </c>
      <c r="N34" s="6" t="s">
        <v>61</v>
      </c>
      <c r="O34" s="9" t="s">
        <v>79</v>
      </c>
    </row>
    <row r="35" spans="1:15" x14ac:dyDescent="0.3">
      <c r="A35" s="17">
        <v>34</v>
      </c>
      <c r="B35" s="6" t="s">
        <v>82</v>
      </c>
      <c r="C35" s="6" t="s">
        <v>238</v>
      </c>
      <c r="D35" s="7">
        <v>14.67</v>
      </c>
      <c r="E35" s="8" t="s">
        <v>11</v>
      </c>
      <c r="F35" s="7">
        <v>15</v>
      </c>
      <c r="G35" s="8" t="s">
        <v>11</v>
      </c>
      <c r="H35" s="7">
        <v>0.75</v>
      </c>
      <c r="I35" s="6" t="s">
        <v>12</v>
      </c>
      <c r="J35" s="8" t="s">
        <v>13</v>
      </c>
      <c r="K35" s="7" t="s">
        <v>13</v>
      </c>
      <c r="L35" s="8" t="s">
        <v>226</v>
      </c>
      <c r="M35" s="6" t="s">
        <v>15</v>
      </c>
      <c r="N35" s="6" t="s">
        <v>52</v>
      </c>
      <c r="O35" s="9" t="s">
        <v>83</v>
      </c>
    </row>
    <row r="36" spans="1:15" x14ac:dyDescent="0.3">
      <c r="A36" s="17">
        <v>35</v>
      </c>
      <c r="B36" s="6" t="s">
        <v>84</v>
      </c>
      <c r="C36" s="6" t="s">
        <v>238</v>
      </c>
      <c r="D36" s="7">
        <v>8.82</v>
      </c>
      <c r="E36" s="8" t="s">
        <v>11</v>
      </c>
      <c r="F36" s="7">
        <v>8</v>
      </c>
      <c r="G36" s="8" t="s">
        <v>11</v>
      </c>
      <c r="H36" s="7">
        <v>2</v>
      </c>
      <c r="I36" s="6" t="s">
        <v>12</v>
      </c>
      <c r="J36" s="8" t="s">
        <v>13</v>
      </c>
      <c r="K36" s="7" t="s">
        <v>13</v>
      </c>
      <c r="L36" s="8" t="s">
        <v>226</v>
      </c>
      <c r="M36" s="6" t="s">
        <v>15</v>
      </c>
      <c r="N36" s="6" t="s">
        <v>61</v>
      </c>
      <c r="O36" s="9" t="s">
        <v>13</v>
      </c>
    </row>
    <row r="37" spans="1:15" x14ac:dyDescent="0.3">
      <c r="A37" s="17">
        <v>36</v>
      </c>
      <c r="B37" s="6" t="s">
        <v>85</v>
      </c>
      <c r="C37" s="6" t="s">
        <v>238</v>
      </c>
      <c r="D37" s="7">
        <v>5.4399999999999995</v>
      </c>
      <c r="E37" s="8" t="s">
        <v>11</v>
      </c>
      <c r="F37" s="7">
        <v>5</v>
      </c>
      <c r="G37" s="8" t="s">
        <v>11</v>
      </c>
      <c r="H37" s="7">
        <v>2</v>
      </c>
      <c r="I37" s="6" t="s">
        <v>12</v>
      </c>
      <c r="J37" s="8" t="s">
        <v>13</v>
      </c>
      <c r="K37" s="7" t="s">
        <v>13</v>
      </c>
      <c r="L37" s="8" t="s">
        <v>226</v>
      </c>
      <c r="M37" s="6" t="s">
        <v>15</v>
      </c>
      <c r="N37" s="6" t="s">
        <v>61</v>
      </c>
      <c r="O37" s="9" t="s">
        <v>13</v>
      </c>
    </row>
    <row r="38" spans="1:15" x14ac:dyDescent="0.3">
      <c r="A38" s="17">
        <v>37</v>
      </c>
      <c r="B38" s="6" t="s">
        <v>86</v>
      </c>
      <c r="C38" s="6" t="s">
        <v>238</v>
      </c>
      <c r="D38" s="7">
        <v>4.42</v>
      </c>
      <c r="E38" s="8" t="s">
        <v>11</v>
      </c>
      <c r="F38" s="7">
        <v>4</v>
      </c>
      <c r="G38" s="8" t="s">
        <v>11</v>
      </c>
      <c r="H38" s="7">
        <v>0.33</v>
      </c>
      <c r="I38" s="6" t="s">
        <v>12</v>
      </c>
      <c r="J38" s="8" t="s">
        <v>13</v>
      </c>
      <c r="K38" s="7" t="s">
        <v>13</v>
      </c>
      <c r="L38" s="8" t="s">
        <v>226</v>
      </c>
      <c r="M38" s="6" t="s">
        <v>15</v>
      </c>
      <c r="N38" s="6" t="s">
        <v>55</v>
      </c>
      <c r="O38" s="9" t="s">
        <v>87</v>
      </c>
    </row>
    <row r="39" spans="1:15" x14ac:dyDescent="0.3">
      <c r="A39" s="17">
        <v>38</v>
      </c>
      <c r="B39" s="6" t="s">
        <v>88</v>
      </c>
      <c r="C39" s="6" t="s">
        <v>238</v>
      </c>
      <c r="D39" s="7">
        <v>4626.72</v>
      </c>
      <c r="E39" s="8" t="s">
        <v>11</v>
      </c>
      <c r="F39" s="7">
        <v>4500</v>
      </c>
      <c r="G39" s="8" t="s">
        <v>11</v>
      </c>
      <c r="H39" s="7">
        <v>2</v>
      </c>
      <c r="I39" s="6" t="s">
        <v>12</v>
      </c>
      <c r="J39" s="8">
        <v>0.82499999999999996</v>
      </c>
      <c r="K39" s="7">
        <v>56</v>
      </c>
      <c r="L39" s="8" t="s">
        <v>23</v>
      </c>
      <c r="M39" s="6" t="s">
        <v>15</v>
      </c>
      <c r="N39" s="6" t="s">
        <v>61</v>
      </c>
      <c r="O39" s="9" t="s">
        <v>89</v>
      </c>
    </row>
    <row r="40" spans="1:15" x14ac:dyDescent="0.3">
      <c r="A40" s="17">
        <v>39</v>
      </c>
      <c r="B40" s="6" t="s">
        <v>90</v>
      </c>
      <c r="C40" s="6" t="s">
        <v>238</v>
      </c>
      <c r="D40" s="7">
        <v>3742.5</v>
      </c>
      <c r="E40" s="8" t="s">
        <v>11</v>
      </c>
      <c r="F40" s="7">
        <v>3900</v>
      </c>
      <c r="G40" s="8" t="s">
        <v>11</v>
      </c>
      <c r="H40" s="7">
        <v>2</v>
      </c>
      <c r="I40" s="6" t="s">
        <v>12</v>
      </c>
      <c r="J40" s="8">
        <v>0.86499999999999999</v>
      </c>
      <c r="K40" s="7">
        <v>87.5</v>
      </c>
      <c r="L40" s="8" t="s">
        <v>23</v>
      </c>
      <c r="M40" s="6" t="s">
        <v>15</v>
      </c>
      <c r="N40" s="6" t="s">
        <v>61</v>
      </c>
      <c r="O40" s="9" t="s">
        <v>89</v>
      </c>
    </row>
    <row r="41" spans="1:15" x14ac:dyDescent="0.3">
      <c r="A41" s="17">
        <v>40</v>
      </c>
      <c r="B41" s="6" t="s">
        <v>91</v>
      </c>
      <c r="C41" s="6" t="s">
        <v>238</v>
      </c>
      <c r="D41" s="7">
        <v>3231.59</v>
      </c>
      <c r="E41" s="8" t="s">
        <v>11</v>
      </c>
      <c r="F41" s="7">
        <v>3000</v>
      </c>
      <c r="G41" s="8" t="s">
        <v>11</v>
      </c>
      <c r="H41" s="7">
        <v>1</v>
      </c>
      <c r="I41" s="6" t="s">
        <v>12</v>
      </c>
      <c r="J41" s="8" t="s">
        <v>13</v>
      </c>
      <c r="K41" s="7" t="s">
        <v>13</v>
      </c>
      <c r="L41" s="8" t="s">
        <v>20</v>
      </c>
      <c r="M41" s="6" t="s">
        <v>92</v>
      </c>
      <c r="N41" s="6" t="s">
        <v>61</v>
      </c>
      <c r="O41" s="9" t="s">
        <v>87</v>
      </c>
    </row>
    <row r="42" spans="1:15" x14ac:dyDescent="0.3">
      <c r="A42" s="17">
        <v>41</v>
      </c>
      <c r="B42" s="6" t="s">
        <v>93</v>
      </c>
      <c r="C42" s="6" t="s">
        <v>238</v>
      </c>
      <c r="D42" s="7">
        <v>2643.84</v>
      </c>
      <c r="E42" s="8" t="s">
        <v>11</v>
      </c>
      <c r="F42" s="7">
        <v>2750</v>
      </c>
      <c r="G42" s="8" t="s">
        <v>11</v>
      </c>
      <c r="H42" s="7">
        <v>2</v>
      </c>
      <c r="I42" s="6" t="s">
        <v>12</v>
      </c>
      <c r="J42" s="8" t="s">
        <v>13</v>
      </c>
      <c r="K42" s="7" t="s">
        <v>13</v>
      </c>
      <c r="L42" s="8" t="s">
        <v>20</v>
      </c>
      <c r="M42" s="6" t="s">
        <v>15</v>
      </c>
      <c r="N42" s="6" t="s">
        <v>61</v>
      </c>
      <c r="O42" s="9" t="s">
        <v>87</v>
      </c>
    </row>
    <row r="43" spans="1:15" x14ac:dyDescent="0.3">
      <c r="A43" s="17">
        <v>42</v>
      </c>
      <c r="B43" s="6" t="s">
        <v>94</v>
      </c>
      <c r="C43" s="6" t="s">
        <v>238</v>
      </c>
      <c r="D43" s="7">
        <v>1551.05</v>
      </c>
      <c r="E43" s="8" t="s">
        <v>11</v>
      </c>
      <c r="F43" s="7">
        <v>2250</v>
      </c>
      <c r="G43" s="8" t="s">
        <v>11</v>
      </c>
      <c r="H43" s="7">
        <v>7.5</v>
      </c>
      <c r="I43" s="6" t="s">
        <v>12</v>
      </c>
      <c r="J43" s="8" t="s">
        <v>13</v>
      </c>
      <c r="K43" s="7" t="s">
        <v>14</v>
      </c>
      <c r="L43" s="8" t="s">
        <v>20</v>
      </c>
      <c r="M43" s="6" t="s">
        <v>95</v>
      </c>
      <c r="N43" s="6" t="s">
        <v>52</v>
      </c>
      <c r="O43" s="9" t="s">
        <v>57</v>
      </c>
    </row>
    <row r="44" spans="1:15" x14ac:dyDescent="0.3">
      <c r="A44" s="17">
        <v>43</v>
      </c>
      <c r="B44" s="6" t="s">
        <v>96</v>
      </c>
      <c r="C44" s="6" t="s">
        <v>238</v>
      </c>
      <c r="D44" s="7">
        <v>1744.94</v>
      </c>
      <c r="E44" s="8" t="s">
        <v>11</v>
      </c>
      <c r="F44" s="7">
        <v>2250</v>
      </c>
      <c r="G44" s="8" t="s">
        <v>11</v>
      </c>
      <c r="H44" s="7">
        <v>3</v>
      </c>
      <c r="I44" s="6" t="s">
        <v>12</v>
      </c>
      <c r="J44" s="8" t="s">
        <v>13</v>
      </c>
      <c r="K44" s="7" t="s">
        <v>13</v>
      </c>
      <c r="L44" s="8" t="s">
        <v>20</v>
      </c>
      <c r="M44" s="6" t="s">
        <v>15</v>
      </c>
      <c r="N44" s="6" t="s">
        <v>61</v>
      </c>
      <c r="O44" s="9" t="s">
        <v>72</v>
      </c>
    </row>
    <row r="45" spans="1:15" x14ac:dyDescent="0.3">
      <c r="A45" s="17">
        <v>44</v>
      </c>
      <c r="B45" s="6" t="s">
        <v>97</v>
      </c>
      <c r="C45" s="6" t="s">
        <v>238</v>
      </c>
      <c r="D45" s="7">
        <v>1833.06</v>
      </c>
      <c r="E45" s="8" t="s">
        <v>11</v>
      </c>
      <c r="F45" s="7">
        <v>2000</v>
      </c>
      <c r="G45" s="8" t="s">
        <v>11</v>
      </c>
      <c r="H45" s="7">
        <v>3</v>
      </c>
      <c r="I45" s="6" t="s">
        <v>12</v>
      </c>
      <c r="J45" s="8" t="s">
        <v>13</v>
      </c>
      <c r="K45" s="7">
        <v>58</v>
      </c>
      <c r="L45" s="8" t="s">
        <v>23</v>
      </c>
      <c r="M45" s="6" t="s">
        <v>15</v>
      </c>
      <c r="N45" s="6" t="s">
        <v>52</v>
      </c>
      <c r="O45" s="9" t="s">
        <v>13</v>
      </c>
    </row>
    <row r="46" spans="1:15" x14ac:dyDescent="0.3">
      <c r="A46" s="17">
        <v>45</v>
      </c>
      <c r="B46" s="6" t="s">
        <v>98</v>
      </c>
      <c r="C46" s="6" t="s">
        <v>238</v>
      </c>
      <c r="D46" s="7">
        <v>2019.6</v>
      </c>
      <c r="E46" s="8" t="s">
        <v>11</v>
      </c>
      <c r="F46" s="7">
        <v>2000</v>
      </c>
      <c r="G46" s="8" t="s">
        <v>11</v>
      </c>
      <c r="H46" s="7">
        <v>6</v>
      </c>
      <c r="I46" s="6" t="s">
        <v>12</v>
      </c>
      <c r="J46" s="8" t="s">
        <v>13</v>
      </c>
      <c r="K46" s="7" t="s">
        <v>13</v>
      </c>
      <c r="L46" s="8" t="s">
        <v>20</v>
      </c>
      <c r="M46" s="6" t="s">
        <v>15</v>
      </c>
      <c r="N46" s="6" t="s">
        <v>61</v>
      </c>
      <c r="O46" s="9" t="s">
        <v>13</v>
      </c>
    </row>
    <row r="47" spans="1:15" x14ac:dyDescent="0.3">
      <c r="A47" s="17">
        <v>46</v>
      </c>
      <c r="B47" s="6" t="s">
        <v>99</v>
      </c>
      <c r="C47" s="6" t="s">
        <v>238</v>
      </c>
      <c r="D47" s="7">
        <v>1885.29</v>
      </c>
      <c r="E47" s="8" t="s">
        <v>11</v>
      </c>
      <c r="F47" s="7">
        <v>2000</v>
      </c>
      <c r="G47" s="8" t="s">
        <v>11</v>
      </c>
      <c r="H47" s="7">
        <v>2</v>
      </c>
      <c r="I47" s="6" t="s">
        <v>12</v>
      </c>
      <c r="J47" s="8" t="s">
        <v>13</v>
      </c>
      <c r="K47" s="7" t="s">
        <v>13</v>
      </c>
      <c r="L47" s="8" t="s">
        <v>20</v>
      </c>
      <c r="M47" s="6" t="s">
        <v>100</v>
      </c>
      <c r="N47" s="6" t="s">
        <v>61</v>
      </c>
      <c r="O47" s="9" t="s">
        <v>87</v>
      </c>
    </row>
    <row r="48" spans="1:15" x14ac:dyDescent="0.3">
      <c r="A48" s="17">
        <v>47</v>
      </c>
      <c r="B48" s="6" t="s">
        <v>101</v>
      </c>
      <c r="C48" s="6" t="s">
        <v>238</v>
      </c>
      <c r="D48" s="7">
        <v>2115.0700000000002</v>
      </c>
      <c r="E48" s="8" t="s">
        <v>11</v>
      </c>
      <c r="F48" s="7">
        <v>2000</v>
      </c>
      <c r="G48" s="8" t="s">
        <v>11</v>
      </c>
      <c r="H48" s="7">
        <v>2</v>
      </c>
      <c r="I48" s="6" t="s">
        <v>12</v>
      </c>
      <c r="J48" s="8" t="s">
        <v>13</v>
      </c>
      <c r="K48" s="7" t="s">
        <v>13</v>
      </c>
      <c r="L48" s="8" t="s">
        <v>20</v>
      </c>
      <c r="M48" s="6" t="s">
        <v>102</v>
      </c>
      <c r="N48" s="6" t="s">
        <v>61</v>
      </c>
      <c r="O48" s="9" t="s">
        <v>87</v>
      </c>
    </row>
    <row r="49" spans="1:15" x14ac:dyDescent="0.3">
      <c r="A49" s="17">
        <v>48</v>
      </c>
      <c r="B49" s="6" t="s">
        <v>103</v>
      </c>
      <c r="C49" s="6" t="s">
        <v>238</v>
      </c>
      <c r="D49" s="7">
        <v>1727.31</v>
      </c>
      <c r="E49" s="8" t="s">
        <v>11</v>
      </c>
      <c r="F49" s="7">
        <v>1750</v>
      </c>
      <c r="G49" s="8" t="s">
        <v>11</v>
      </c>
      <c r="H49" s="7">
        <v>7.5</v>
      </c>
      <c r="I49" s="6" t="s">
        <v>12</v>
      </c>
      <c r="J49" s="8" t="s">
        <v>13</v>
      </c>
      <c r="K49" s="7" t="s">
        <v>13</v>
      </c>
      <c r="L49" s="8" t="s">
        <v>20</v>
      </c>
      <c r="M49" s="6" t="s">
        <v>15</v>
      </c>
      <c r="N49" s="6" t="s">
        <v>44</v>
      </c>
      <c r="O49" s="9" t="s">
        <v>57</v>
      </c>
    </row>
    <row r="50" spans="1:15" x14ac:dyDescent="0.3">
      <c r="A50" s="17">
        <v>49</v>
      </c>
      <c r="B50" s="6" t="s">
        <v>104</v>
      </c>
      <c r="C50" s="6" t="s">
        <v>238</v>
      </c>
      <c r="D50" s="7">
        <v>1726.66</v>
      </c>
      <c r="E50" s="8" t="s">
        <v>11</v>
      </c>
      <c r="F50" s="7">
        <v>1600</v>
      </c>
      <c r="G50" s="8" t="s">
        <v>11</v>
      </c>
      <c r="H50" s="7">
        <v>1.25</v>
      </c>
      <c r="I50" s="6" t="s">
        <v>12</v>
      </c>
      <c r="J50" s="8" t="s">
        <v>13</v>
      </c>
      <c r="K50" s="7" t="s">
        <v>13</v>
      </c>
      <c r="L50" s="8" t="s">
        <v>20</v>
      </c>
      <c r="M50" s="6" t="s">
        <v>15</v>
      </c>
      <c r="N50" s="6" t="s">
        <v>52</v>
      </c>
      <c r="O50" s="9" t="s">
        <v>36</v>
      </c>
    </row>
    <row r="51" spans="1:15" x14ac:dyDescent="0.3">
      <c r="A51" s="17">
        <v>50</v>
      </c>
      <c r="B51" s="6" t="s">
        <v>105</v>
      </c>
      <c r="C51" s="6" t="s">
        <v>238</v>
      </c>
      <c r="D51" s="7">
        <v>1692.06</v>
      </c>
      <c r="E51" s="8" t="s">
        <v>11</v>
      </c>
      <c r="F51" s="7">
        <v>1240</v>
      </c>
      <c r="G51" s="8" t="s">
        <v>11</v>
      </c>
      <c r="H51" s="7">
        <v>2</v>
      </c>
      <c r="I51" s="6" t="s">
        <v>12</v>
      </c>
      <c r="J51" s="8">
        <v>0.85340000000000005</v>
      </c>
      <c r="K51" s="7">
        <v>145</v>
      </c>
      <c r="L51" s="8" t="s">
        <v>23</v>
      </c>
      <c r="M51" s="6" t="s">
        <v>15</v>
      </c>
      <c r="N51" s="6" t="s">
        <v>61</v>
      </c>
      <c r="O51" s="9" t="s">
        <v>106</v>
      </c>
    </row>
    <row r="52" spans="1:15" x14ac:dyDescent="0.3">
      <c r="A52" s="17">
        <v>51</v>
      </c>
      <c r="B52" s="6" t="s">
        <v>107</v>
      </c>
      <c r="C52" s="6" t="s">
        <v>238</v>
      </c>
      <c r="D52" s="7">
        <v>1101.5999999999999</v>
      </c>
      <c r="E52" s="8" t="s">
        <v>11</v>
      </c>
      <c r="F52" s="7">
        <v>1000</v>
      </c>
      <c r="G52" s="8" t="s">
        <v>11</v>
      </c>
      <c r="H52" s="7">
        <v>2</v>
      </c>
      <c r="I52" s="6" t="s">
        <v>12</v>
      </c>
      <c r="J52" s="8" t="s">
        <v>13</v>
      </c>
      <c r="K52" s="7" t="s">
        <v>13</v>
      </c>
      <c r="L52" s="8" t="s">
        <v>20</v>
      </c>
      <c r="M52" s="6" t="s">
        <v>15</v>
      </c>
      <c r="N52" s="6" t="s">
        <v>52</v>
      </c>
      <c r="O52" s="9" t="s">
        <v>13</v>
      </c>
    </row>
    <row r="53" spans="1:15" x14ac:dyDescent="0.3">
      <c r="A53" s="17">
        <v>52</v>
      </c>
      <c r="B53" s="6" t="s">
        <v>108</v>
      </c>
      <c r="C53" s="6" t="s">
        <v>238</v>
      </c>
      <c r="D53" s="7">
        <v>940.04</v>
      </c>
      <c r="E53" s="8" t="s">
        <v>11</v>
      </c>
      <c r="F53" s="7">
        <v>1000</v>
      </c>
      <c r="G53" s="8" t="s">
        <v>11</v>
      </c>
      <c r="H53" s="7">
        <v>0.75</v>
      </c>
      <c r="I53" s="6" t="s">
        <v>12</v>
      </c>
      <c r="J53" s="8" t="s">
        <v>13</v>
      </c>
      <c r="K53" s="7" t="s">
        <v>13</v>
      </c>
      <c r="L53" s="8" t="s">
        <v>20</v>
      </c>
      <c r="M53" s="6" t="s">
        <v>15</v>
      </c>
      <c r="N53" s="6" t="s">
        <v>41</v>
      </c>
      <c r="O53" s="9" t="s">
        <v>13</v>
      </c>
    </row>
    <row r="54" spans="1:15" x14ac:dyDescent="0.3">
      <c r="A54" s="17">
        <v>53</v>
      </c>
      <c r="B54" s="6" t="s">
        <v>109</v>
      </c>
      <c r="C54" s="6" t="s">
        <v>238</v>
      </c>
      <c r="D54" s="7">
        <v>1128.04</v>
      </c>
      <c r="E54" s="8" t="s">
        <v>11</v>
      </c>
      <c r="F54" s="7">
        <v>1000</v>
      </c>
      <c r="G54" s="8" t="s">
        <v>11</v>
      </c>
      <c r="H54" s="7">
        <v>5</v>
      </c>
      <c r="I54" s="6" t="s">
        <v>12</v>
      </c>
      <c r="J54" s="8" t="s">
        <v>13</v>
      </c>
      <c r="K54" s="7" t="s">
        <v>13</v>
      </c>
      <c r="L54" s="8" t="s">
        <v>20</v>
      </c>
      <c r="M54" s="6" t="s">
        <v>110</v>
      </c>
      <c r="N54" s="6" t="s">
        <v>61</v>
      </c>
      <c r="O54" s="9" t="s">
        <v>53</v>
      </c>
    </row>
    <row r="55" spans="1:15" x14ac:dyDescent="0.3">
      <c r="A55" s="17">
        <v>54</v>
      </c>
      <c r="B55" s="6" t="s">
        <v>111</v>
      </c>
      <c r="C55" s="6" t="s">
        <v>238</v>
      </c>
      <c r="D55" s="7">
        <v>1002.7</v>
      </c>
      <c r="E55" s="8" t="s">
        <v>11</v>
      </c>
      <c r="F55" s="7">
        <v>920</v>
      </c>
      <c r="G55" s="8" t="s">
        <v>11</v>
      </c>
      <c r="H55" s="7">
        <v>5</v>
      </c>
      <c r="I55" s="6" t="s">
        <v>12</v>
      </c>
      <c r="J55" s="8" t="s">
        <v>13</v>
      </c>
      <c r="K55" s="7">
        <v>19</v>
      </c>
      <c r="L55" s="8" t="s">
        <v>23</v>
      </c>
      <c r="M55" s="6" t="s">
        <v>110</v>
      </c>
      <c r="N55" s="6" t="s">
        <v>61</v>
      </c>
      <c r="O55" s="9" t="s">
        <v>112</v>
      </c>
    </row>
    <row r="56" spans="1:15" x14ac:dyDescent="0.3">
      <c r="A56" s="17">
        <v>55</v>
      </c>
      <c r="B56" s="6" t="s">
        <v>113</v>
      </c>
      <c r="C56" s="6" t="s">
        <v>238</v>
      </c>
      <c r="D56" s="7">
        <v>949.66</v>
      </c>
      <c r="E56" s="8" t="s">
        <v>11</v>
      </c>
      <c r="F56" s="7">
        <v>900</v>
      </c>
      <c r="G56" s="8" t="s">
        <v>11</v>
      </c>
      <c r="H56" s="7">
        <v>1.5</v>
      </c>
      <c r="I56" s="6" t="s">
        <v>12</v>
      </c>
      <c r="J56" s="8" t="s">
        <v>13</v>
      </c>
      <c r="K56" s="7" t="s">
        <v>13</v>
      </c>
      <c r="L56" s="8" t="s">
        <v>20</v>
      </c>
      <c r="M56" s="6" t="s">
        <v>15</v>
      </c>
      <c r="N56" s="6" t="s">
        <v>61</v>
      </c>
      <c r="O56" s="9" t="s">
        <v>114</v>
      </c>
    </row>
    <row r="57" spans="1:15" x14ac:dyDescent="0.3">
      <c r="A57" s="17">
        <v>56</v>
      </c>
      <c r="B57" s="6" t="s">
        <v>115</v>
      </c>
      <c r="C57" s="6" t="s">
        <v>238</v>
      </c>
      <c r="D57" s="7">
        <v>1028.1600000000001</v>
      </c>
      <c r="E57" s="8" t="s">
        <v>11</v>
      </c>
      <c r="F57" s="7">
        <v>900</v>
      </c>
      <c r="G57" s="8" t="s">
        <v>11</v>
      </c>
      <c r="H57" s="7">
        <v>3</v>
      </c>
      <c r="I57" s="6" t="s">
        <v>12</v>
      </c>
      <c r="J57" s="8" t="s">
        <v>13</v>
      </c>
      <c r="K57" s="7" t="s">
        <v>13</v>
      </c>
      <c r="L57" s="8" t="s">
        <v>20</v>
      </c>
      <c r="M57" s="6" t="s">
        <v>110</v>
      </c>
      <c r="N57" s="6" t="s">
        <v>61</v>
      </c>
      <c r="O57" s="9" t="s">
        <v>53</v>
      </c>
    </row>
    <row r="58" spans="1:15" x14ac:dyDescent="0.3">
      <c r="A58" s="17">
        <v>57</v>
      </c>
      <c r="B58" s="6" t="s">
        <v>116</v>
      </c>
      <c r="C58" s="6" t="s">
        <v>238</v>
      </c>
      <c r="D58" s="7">
        <v>1101.5999999999999</v>
      </c>
      <c r="E58" s="8" t="s">
        <v>11</v>
      </c>
      <c r="F58" s="7">
        <v>850</v>
      </c>
      <c r="G58" s="8" t="s">
        <v>11</v>
      </c>
      <c r="H58" s="7">
        <v>2</v>
      </c>
      <c r="I58" s="6" t="s">
        <v>12</v>
      </c>
      <c r="J58" s="8" t="s">
        <v>13</v>
      </c>
      <c r="K58" s="7">
        <v>61</v>
      </c>
      <c r="L58" s="8" t="s">
        <v>23</v>
      </c>
      <c r="M58" s="6" t="s">
        <v>15</v>
      </c>
      <c r="N58" s="6" t="s">
        <v>52</v>
      </c>
      <c r="O58" s="9" t="s">
        <v>117</v>
      </c>
    </row>
    <row r="59" spans="1:15" x14ac:dyDescent="0.3">
      <c r="A59" s="17">
        <v>58</v>
      </c>
      <c r="B59" s="6" t="s">
        <v>118</v>
      </c>
      <c r="C59" s="6" t="s">
        <v>238</v>
      </c>
      <c r="D59" s="7">
        <v>1060.48</v>
      </c>
      <c r="E59" s="8" t="s">
        <v>11</v>
      </c>
      <c r="F59" s="7">
        <v>840</v>
      </c>
      <c r="G59" s="8" t="s">
        <v>11</v>
      </c>
      <c r="H59" s="7">
        <v>5</v>
      </c>
      <c r="I59" s="6" t="s">
        <v>12</v>
      </c>
      <c r="J59" s="8" t="s">
        <v>13</v>
      </c>
      <c r="K59" s="7" t="s">
        <v>13</v>
      </c>
      <c r="L59" s="8" t="s">
        <v>20</v>
      </c>
      <c r="M59" s="6" t="s">
        <v>15</v>
      </c>
      <c r="N59" s="6" t="s">
        <v>44</v>
      </c>
      <c r="O59" s="9" t="s">
        <v>72</v>
      </c>
    </row>
    <row r="60" spans="1:15" x14ac:dyDescent="0.3">
      <c r="A60" s="17">
        <v>59</v>
      </c>
      <c r="B60" s="6" t="s">
        <v>119</v>
      </c>
      <c r="C60" s="6" t="s">
        <v>238</v>
      </c>
      <c r="D60" s="7">
        <v>1036.73</v>
      </c>
      <c r="E60" s="8" t="s">
        <v>11</v>
      </c>
      <c r="F60" s="7">
        <v>750</v>
      </c>
      <c r="G60" s="8" t="s">
        <v>11</v>
      </c>
      <c r="H60" s="7">
        <v>3</v>
      </c>
      <c r="I60" s="6" t="s">
        <v>12</v>
      </c>
      <c r="J60" s="8" t="s">
        <v>13</v>
      </c>
      <c r="K60" s="7" t="s">
        <v>13</v>
      </c>
      <c r="L60" s="8" t="s">
        <v>20</v>
      </c>
      <c r="M60" s="6" t="s">
        <v>15</v>
      </c>
      <c r="N60" s="6" t="s">
        <v>61</v>
      </c>
      <c r="O60" s="9" t="s">
        <v>13</v>
      </c>
    </row>
    <row r="61" spans="1:15" x14ac:dyDescent="0.3">
      <c r="A61" s="17">
        <v>60</v>
      </c>
      <c r="B61" s="6" t="s">
        <v>120</v>
      </c>
      <c r="C61" s="6" t="s">
        <v>238</v>
      </c>
      <c r="D61" s="7">
        <v>847.65</v>
      </c>
      <c r="E61" s="8" t="s">
        <v>11</v>
      </c>
      <c r="F61" s="7">
        <v>700</v>
      </c>
      <c r="G61" s="8" t="s">
        <v>11</v>
      </c>
      <c r="H61" s="7">
        <v>1.5</v>
      </c>
      <c r="I61" s="6" t="s">
        <v>12</v>
      </c>
      <c r="J61" s="8">
        <v>0.88500000000000001</v>
      </c>
      <c r="K61" s="7" t="s">
        <v>13</v>
      </c>
      <c r="L61" s="8" t="s">
        <v>20</v>
      </c>
      <c r="M61" s="6" t="s">
        <v>15</v>
      </c>
      <c r="N61" s="6" t="s">
        <v>52</v>
      </c>
      <c r="O61" s="9" t="s">
        <v>50</v>
      </c>
    </row>
    <row r="62" spans="1:15" x14ac:dyDescent="0.3">
      <c r="A62" s="17">
        <v>61</v>
      </c>
      <c r="B62" s="6" t="s">
        <v>121</v>
      </c>
      <c r="C62" s="6" t="s">
        <v>238</v>
      </c>
      <c r="D62" s="7">
        <v>773.33</v>
      </c>
      <c r="E62" s="8" t="s">
        <v>11</v>
      </c>
      <c r="F62" s="7">
        <v>650</v>
      </c>
      <c r="G62" s="8" t="s">
        <v>11</v>
      </c>
      <c r="H62" s="7">
        <v>0.5</v>
      </c>
      <c r="I62" s="6" t="s">
        <v>12</v>
      </c>
      <c r="J62" s="8" t="s">
        <v>13</v>
      </c>
      <c r="K62" s="7">
        <v>430</v>
      </c>
      <c r="L62" s="8" t="s">
        <v>23</v>
      </c>
      <c r="M62" s="6" t="s">
        <v>15</v>
      </c>
      <c r="N62" s="6" t="s">
        <v>61</v>
      </c>
      <c r="O62" s="9" t="s">
        <v>13</v>
      </c>
    </row>
    <row r="63" spans="1:15" x14ac:dyDescent="0.3">
      <c r="A63" s="17">
        <v>62</v>
      </c>
      <c r="B63" s="6" t="s">
        <v>122</v>
      </c>
      <c r="C63" s="6" t="s">
        <v>238</v>
      </c>
      <c r="D63" s="7" t="s">
        <v>13</v>
      </c>
      <c r="E63" s="8" t="s">
        <v>20</v>
      </c>
      <c r="F63" s="7">
        <v>600</v>
      </c>
      <c r="G63" s="8" t="s">
        <v>11</v>
      </c>
      <c r="H63" s="7">
        <v>3</v>
      </c>
      <c r="I63" s="6" t="s">
        <v>12</v>
      </c>
      <c r="J63" s="8" t="s">
        <v>13</v>
      </c>
      <c r="K63" s="7" t="s">
        <v>13</v>
      </c>
      <c r="L63" s="8" t="s">
        <v>20</v>
      </c>
      <c r="M63" s="6" t="s">
        <v>15</v>
      </c>
      <c r="N63" s="6" t="s">
        <v>52</v>
      </c>
      <c r="O63" s="9" t="s">
        <v>123</v>
      </c>
    </row>
    <row r="64" spans="1:15" x14ac:dyDescent="0.3">
      <c r="A64" s="17">
        <v>63</v>
      </c>
      <c r="B64" s="6" t="s">
        <v>124</v>
      </c>
      <c r="C64" s="6" t="s">
        <v>238</v>
      </c>
      <c r="D64" s="7">
        <v>703.72</v>
      </c>
      <c r="E64" s="8" t="s">
        <v>11</v>
      </c>
      <c r="F64" s="7">
        <v>575</v>
      </c>
      <c r="G64" s="8" t="s">
        <v>11</v>
      </c>
      <c r="H64" s="7">
        <v>11.8</v>
      </c>
      <c r="I64" s="6" t="s">
        <v>12</v>
      </c>
      <c r="J64" s="8">
        <v>0.89500000000000002</v>
      </c>
      <c r="K64" s="7" t="s">
        <v>13</v>
      </c>
      <c r="L64" s="8" t="s">
        <v>20</v>
      </c>
      <c r="M64" s="6" t="s">
        <v>15</v>
      </c>
      <c r="N64" s="6" t="s">
        <v>44</v>
      </c>
      <c r="O64" s="9" t="s">
        <v>65</v>
      </c>
    </row>
    <row r="65" spans="1:15" x14ac:dyDescent="0.3">
      <c r="A65" s="17">
        <v>64</v>
      </c>
      <c r="B65" s="6" t="s">
        <v>125</v>
      </c>
      <c r="C65" s="6" t="s">
        <v>238</v>
      </c>
      <c r="D65" s="7">
        <v>642.36</v>
      </c>
      <c r="E65" s="8" t="s">
        <v>11</v>
      </c>
      <c r="F65" s="7">
        <v>550</v>
      </c>
      <c r="G65" s="8" t="s">
        <v>11</v>
      </c>
      <c r="H65" s="7">
        <v>5</v>
      </c>
      <c r="I65" s="6" t="s">
        <v>12</v>
      </c>
      <c r="J65" s="8" t="s">
        <v>13</v>
      </c>
      <c r="K65" s="7" t="s">
        <v>13</v>
      </c>
      <c r="L65" s="8" t="s">
        <v>20</v>
      </c>
      <c r="M65" s="6" t="s">
        <v>15</v>
      </c>
      <c r="N65" s="6" t="s">
        <v>61</v>
      </c>
      <c r="O65" s="9" t="s">
        <v>112</v>
      </c>
    </row>
    <row r="66" spans="1:15" x14ac:dyDescent="0.3">
      <c r="A66" s="17">
        <v>65</v>
      </c>
      <c r="B66" s="6" t="s">
        <v>126</v>
      </c>
      <c r="C66" s="6" t="s">
        <v>238</v>
      </c>
      <c r="D66" s="7">
        <v>642.36</v>
      </c>
      <c r="E66" s="8" t="s">
        <v>11</v>
      </c>
      <c r="F66" s="7">
        <v>500</v>
      </c>
      <c r="G66" s="8" t="s">
        <v>11</v>
      </c>
      <c r="H66" s="7">
        <v>1.5</v>
      </c>
      <c r="I66" s="6" t="s">
        <v>12</v>
      </c>
      <c r="J66" s="8" t="s">
        <v>13</v>
      </c>
      <c r="K66" s="7" t="s">
        <v>13</v>
      </c>
      <c r="L66" s="8" t="s">
        <v>20</v>
      </c>
      <c r="M66" s="6" t="s">
        <v>15</v>
      </c>
      <c r="N66" s="6" t="s">
        <v>61</v>
      </c>
      <c r="O66" s="9" t="s">
        <v>36</v>
      </c>
    </row>
    <row r="67" spans="1:15" x14ac:dyDescent="0.3">
      <c r="A67" s="17">
        <v>66</v>
      </c>
      <c r="B67" s="6" t="s">
        <v>127</v>
      </c>
      <c r="C67" s="6" t="s">
        <v>238</v>
      </c>
      <c r="D67" s="7">
        <v>518</v>
      </c>
      <c r="E67" s="8" t="s">
        <v>11</v>
      </c>
      <c r="F67" s="7">
        <v>450</v>
      </c>
      <c r="G67" s="8" t="s">
        <v>11</v>
      </c>
      <c r="H67" s="7">
        <v>3</v>
      </c>
      <c r="I67" s="6" t="s">
        <v>12</v>
      </c>
      <c r="J67" s="8" t="s">
        <v>13</v>
      </c>
      <c r="K67" s="7" t="s">
        <v>13</v>
      </c>
      <c r="L67" s="8" t="s">
        <v>20</v>
      </c>
      <c r="M67" s="6" t="s">
        <v>15</v>
      </c>
      <c r="N67" s="6" t="s">
        <v>61</v>
      </c>
      <c r="O67" s="9" t="s">
        <v>72</v>
      </c>
    </row>
    <row r="68" spans="1:15" x14ac:dyDescent="0.3">
      <c r="A68" s="17">
        <v>67</v>
      </c>
      <c r="B68" s="6" t="s">
        <v>128</v>
      </c>
      <c r="C68" s="6" t="s">
        <v>238</v>
      </c>
      <c r="D68" s="7">
        <v>448.99</v>
      </c>
      <c r="E68" s="8" t="s">
        <v>11</v>
      </c>
      <c r="F68" s="7">
        <v>350</v>
      </c>
      <c r="G68" s="8" t="s">
        <v>11</v>
      </c>
      <c r="H68" s="7">
        <v>1.5</v>
      </c>
      <c r="I68" s="6" t="s">
        <v>12</v>
      </c>
      <c r="J68" s="8" t="s">
        <v>13</v>
      </c>
      <c r="K68" s="7">
        <v>48</v>
      </c>
      <c r="L68" s="8" t="s">
        <v>23</v>
      </c>
      <c r="M68" s="6" t="s">
        <v>15</v>
      </c>
      <c r="N68" s="6" t="s">
        <v>61</v>
      </c>
      <c r="O68" s="9" t="s">
        <v>50</v>
      </c>
    </row>
    <row r="69" spans="1:15" x14ac:dyDescent="0.3">
      <c r="A69" s="17">
        <v>68</v>
      </c>
      <c r="B69" s="6" t="s">
        <v>129</v>
      </c>
      <c r="C69" s="6" t="s">
        <v>238</v>
      </c>
      <c r="D69" s="7">
        <v>376.02</v>
      </c>
      <c r="E69" s="8" t="s">
        <v>11</v>
      </c>
      <c r="F69" s="7">
        <v>300</v>
      </c>
      <c r="G69" s="8" t="s">
        <v>11</v>
      </c>
      <c r="H69" s="7">
        <v>2</v>
      </c>
      <c r="I69" s="6" t="s">
        <v>12</v>
      </c>
      <c r="J69" s="8" t="s">
        <v>13</v>
      </c>
      <c r="K69" s="7">
        <v>144</v>
      </c>
      <c r="L69" s="8" t="s">
        <v>23</v>
      </c>
      <c r="M69" s="6" t="s">
        <v>15</v>
      </c>
      <c r="N69" s="6" t="s">
        <v>55</v>
      </c>
      <c r="O69" s="9" t="s">
        <v>48</v>
      </c>
    </row>
    <row r="70" spans="1:15" x14ac:dyDescent="0.3">
      <c r="A70" s="17">
        <v>69</v>
      </c>
      <c r="B70" s="6" t="s">
        <v>130</v>
      </c>
      <c r="C70" s="6" t="s">
        <v>238</v>
      </c>
      <c r="D70" s="7">
        <v>359.86</v>
      </c>
      <c r="E70" s="8" t="s">
        <v>11</v>
      </c>
      <c r="F70" s="7">
        <v>300</v>
      </c>
      <c r="G70" s="8" t="s">
        <v>11</v>
      </c>
      <c r="H70" s="7">
        <v>7.5</v>
      </c>
      <c r="I70" s="6" t="s">
        <v>12</v>
      </c>
      <c r="J70" s="8">
        <v>0.85499999999999998</v>
      </c>
      <c r="K70" s="7">
        <v>160</v>
      </c>
      <c r="L70" s="8" t="s">
        <v>23</v>
      </c>
      <c r="M70" s="6" t="s">
        <v>15</v>
      </c>
      <c r="N70" s="6" t="s">
        <v>61</v>
      </c>
      <c r="O70" s="9" t="s">
        <v>13</v>
      </c>
    </row>
    <row r="71" spans="1:15" x14ac:dyDescent="0.3">
      <c r="A71" s="17">
        <v>70</v>
      </c>
      <c r="B71" s="6" t="s">
        <v>131</v>
      </c>
      <c r="C71" s="6" t="s">
        <v>238</v>
      </c>
      <c r="D71" s="7">
        <v>807.84</v>
      </c>
      <c r="E71" s="8" t="s">
        <v>11</v>
      </c>
      <c r="F71" s="7">
        <v>750</v>
      </c>
      <c r="G71" s="8" t="s">
        <v>11</v>
      </c>
      <c r="H71" s="7">
        <v>7.5</v>
      </c>
      <c r="I71" s="6" t="s">
        <v>12</v>
      </c>
      <c r="J71" s="8">
        <v>0.88500000000000001</v>
      </c>
      <c r="K71" s="7" t="s">
        <v>13</v>
      </c>
      <c r="L71" s="8" t="s">
        <v>20</v>
      </c>
      <c r="M71" s="6" t="s">
        <v>15</v>
      </c>
      <c r="N71" s="6" t="s">
        <v>61</v>
      </c>
      <c r="O71" s="9" t="s">
        <v>45</v>
      </c>
    </row>
    <row r="72" spans="1:15" x14ac:dyDescent="0.3">
      <c r="A72" s="17">
        <v>71</v>
      </c>
      <c r="B72" s="6" t="s">
        <v>132</v>
      </c>
      <c r="C72" s="6" t="s">
        <v>238</v>
      </c>
      <c r="D72" s="7">
        <v>59.25</v>
      </c>
      <c r="E72" s="8" t="s">
        <v>11</v>
      </c>
      <c r="F72" s="7">
        <v>50</v>
      </c>
      <c r="G72" s="8" t="s">
        <v>11</v>
      </c>
      <c r="H72" s="7">
        <v>0.25</v>
      </c>
      <c r="I72" s="6" t="s">
        <v>12</v>
      </c>
      <c r="J72" s="8" t="s">
        <v>13</v>
      </c>
      <c r="K72" s="7" t="s">
        <v>13</v>
      </c>
      <c r="L72" s="8" t="s">
        <v>20</v>
      </c>
      <c r="M72" s="6" t="s">
        <v>15</v>
      </c>
      <c r="N72" s="6" t="s">
        <v>61</v>
      </c>
      <c r="O72" s="9" t="s">
        <v>87</v>
      </c>
    </row>
    <row r="73" spans="1:15" x14ac:dyDescent="0.3">
      <c r="A73" s="17">
        <v>72</v>
      </c>
      <c r="B73" s="6" t="s">
        <v>133</v>
      </c>
      <c r="C73" s="6" t="s">
        <v>238</v>
      </c>
      <c r="D73" s="7">
        <v>45.05</v>
      </c>
      <c r="E73" s="8" t="s">
        <v>11</v>
      </c>
      <c r="F73" s="7">
        <v>45</v>
      </c>
      <c r="G73" s="8" t="s">
        <v>11</v>
      </c>
      <c r="H73" s="7">
        <v>0.33</v>
      </c>
      <c r="I73" s="6" t="s">
        <v>12</v>
      </c>
      <c r="J73" s="8">
        <v>0.72</v>
      </c>
      <c r="K73" s="7">
        <v>233</v>
      </c>
      <c r="L73" s="8" t="s">
        <v>23</v>
      </c>
      <c r="M73" s="6" t="s">
        <v>15</v>
      </c>
      <c r="N73" s="6" t="s">
        <v>52</v>
      </c>
      <c r="O73" s="9" t="s">
        <v>134</v>
      </c>
    </row>
    <row r="74" spans="1:15" x14ac:dyDescent="0.3">
      <c r="A74" s="17">
        <v>73</v>
      </c>
      <c r="B74" s="6" t="s">
        <v>135</v>
      </c>
      <c r="C74" s="6" t="s">
        <v>238</v>
      </c>
      <c r="D74" s="7" t="s">
        <v>13</v>
      </c>
      <c r="E74" s="8" t="s">
        <v>20</v>
      </c>
      <c r="F74" s="7">
        <v>40</v>
      </c>
      <c r="G74" s="8" t="s">
        <v>11</v>
      </c>
      <c r="H74" s="7">
        <v>0.5</v>
      </c>
      <c r="I74" s="6" t="s">
        <v>12</v>
      </c>
      <c r="J74" s="8" t="s">
        <v>13</v>
      </c>
      <c r="K74" s="7" t="s">
        <v>74</v>
      </c>
      <c r="L74" s="8" t="s">
        <v>23</v>
      </c>
      <c r="M74" s="6" t="s">
        <v>15</v>
      </c>
      <c r="N74" s="6" t="s">
        <v>136</v>
      </c>
      <c r="O74" s="9" t="s">
        <v>13</v>
      </c>
    </row>
    <row r="75" spans="1:15" x14ac:dyDescent="0.3">
      <c r="A75" s="17">
        <v>74</v>
      </c>
      <c r="B75" s="6" t="s">
        <v>137</v>
      </c>
      <c r="C75" s="6" t="s">
        <v>238</v>
      </c>
      <c r="D75" s="7">
        <v>34.58</v>
      </c>
      <c r="E75" s="8" t="s">
        <v>11</v>
      </c>
      <c r="F75" s="7">
        <v>35</v>
      </c>
      <c r="G75" s="8" t="s">
        <v>11</v>
      </c>
      <c r="H75" s="7">
        <v>0.75</v>
      </c>
      <c r="I75" s="6" t="s">
        <v>12</v>
      </c>
      <c r="J75" s="8" t="s">
        <v>13</v>
      </c>
      <c r="K75" s="7" t="s">
        <v>13</v>
      </c>
      <c r="L75" s="8" t="s">
        <v>20</v>
      </c>
      <c r="M75" s="6" t="s">
        <v>15</v>
      </c>
      <c r="N75" s="6" t="s">
        <v>61</v>
      </c>
      <c r="O75" s="9" t="s">
        <v>13</v>
      </c>
    </row>
    <row r="76" spans="1:15" x14ac:dyDescent="0.3">
      <c r="A76" s="17">
        <v>75</v>
      </c>
      <c r="B76" s="6" t="s">
        <v>138</v>
      </c>
      <c r="C76" s="6" t="s">
        <v>238</v>
      </c>
      <c r="D76" s="7">
        <v>39.5</v>
      </c>
      <c r="E76" s="8" t="s">
        <v>11</v>
      </c>
      <c r="F76" s="7">
        <v>35</v>
      </c>
      <c r="G76" s="8" t="s">
        <v>11</v>
      </c>
      <c r="H76" s="7">
        <v>2</v>
      </c>
      <c r="I76" s="6" t="s">
        <v>12</v>
      </c>
      <c r="J76" s="8">
        <v>0.73809999999999998</v>
      </c>
      <c r="K76" s="7">
        <v>19</v>
      </c>
      <c r="L76" s="8" t="s">
        <v>23</v>
      </c>
      <c r="M76" s="6" t="s">
        <v>15</v>
      </c>
      <c r="N76" s="6" t="s">
        <v>55</v>
      </c>
      <c r="O76" s="9" t="s">
        <v>53</v>
      </c>
    </row>
    <row r="77" spans="1:15" x14ac:dyDescent="0.3">
      <c r="A77" s="17">
        <v>76</v>
      </c>
      <c r="B77" s="6" t="s">
        <v>138</v>
      </c>
      <c r="C77" s="6" t="s">
        <v>238</v>
      </c>
      <c r="D77" s="7">
        <v>104.04</v>
      </c>
      <c r="E77" s="8" t="s">
        <v>11</v>
      </c>
      <c r="F77" s="7">
        <v>100</v>
      </c>
      <c r="G77" s="8" t="s">
        <v>11</v>
      </c>
      <c r="H77" s="7">
        <v>3</v>
      </c>
      <c r="I77" s="6" t="s">
        <v>12</v>
      </c>
      <c r="J77" s="8" t="s">
        <v>13</v>
      </c>
      <c r="K77" s="7">
        <v>19</v>
      </c>
      <c r="L77" s="8" t="s">
        <v>23</v>
      </c>
      <c r="M77" s="6" t="s">
        <v>15</v>
      </c>
      <c r="N77" s="6" t="s">
        <v>55</v>
      </c>
      <c r="O77" s="9" t="s">
        <v>53</v>
      </c>
    </row>
    <row r="78" spans="1:15" x14ac:dyDescent="0.3">
      <c r="A78" s="17">
        <v>77</v>
      </c>
      <c r="B78" s="6" t="s">
        <v>138</v>
      </c>
      <c r="C78" s="6" t="s">
        <v>238</v>
      </c>
      <c r="D78" s="7">
        <v>475.9</v>
      </c>
      <c r="E78" s="8" t="s">
        <v>11</v>
      </c>
      <c r="F78" s="7">
        <v>500</v>
      </c>
      <c r="G78" s="8" t="s">
        <v>11</v>
      </c>
      <c r="H78" s="7">
        <v>5</v>
      </c>
      <c r="I78" s="6" t="s">
        <v>12</v>
      </c>
      <c r="J78" s="8" t="s">
        <v>13</v>
      </c>
      <c r="K78" s="7">
        <v>19</v>
      </c>
      <c r="L78" s="8" t="s">
        <v>23</v>
      </c>
      <c r="M78" s="6" t="s">
        <v>15</v>
      </c>
      <c r="N78" s="6" t="s">
        <v>55</v>
      </c>
      <c r="O78" s="9" t="s">
        <v>53</v>
      </c>
    </row>
    <row r="79" spans="1:15" x14ac:dyDescent="0.3">
      <c r="A79" s="17">
        <v>78</v>
      </c>
      <c r="B79" s="6" t="s">
        <v>139</v>
      </c>
      <c r="C79" s="6" t="s">
        <v>238</v>
      </c>
      <c r="D79" s="7">
        <v>34</v>
      </c>
      <c r="E79" s="8" t="s">
        <v>11</v>
      </c>
      <c r="F79" s="7">
        <v>30</v>
      </c>
      <c r="G79" s="8" t="s">
        <v>11</v>
      </c>
      <c r="H79" s="7">
        <v>0.5</v>
      </c>
      <c r="I79" s="6" t="s">
        <v>12</v>
      </c>
      <c r="J79" s="8" t="s">
        <v>13</v>
      </c>
      <c r="K79" s="7" t="s">
        <v>13</v>
      </c>
      <c r="L79" s="8" t="s">
        <v>20</v>
      </c>
      <c r="M79" s="6" t="s">
        <v>15</v>
      </c>
      <c r="N79" s="6" t="s">
        <v>55</v>
      </c>
      <c r="O79" s="9" t="s">
        <v>13</v>
      </c>
    </row>
    <row r="80" spans="1:15" x14ac:dyDescent="0.3">
      <c r="A80" s="17">
        <v>79</v>
      </c>
      <c r="B80" s="6" t="s">
        <v>140</v>
      </c>
      <c r="C80" s="6" t="s">
        <v>238</v>
      </c>
      <c r="D80" s="7">
        <v>21.76</v>
      </c>
      <c r="E80" s="8" t="s">
        <v>11</v>
      </c>
      <c r="F80" s="7">
        <v>25</v>
      </c>
      <c r="G80" s="8" t="s">
        <v>11</v>
      </c>
      <c r="H80" s="7">
        <v>1</v>
      </c>
      <c r="I80" s="6" t="s">
        <v>12</v>
      </c>
      <c r="J80" s="8" t="s">
        <v>13</v>
      </c>
      <c r="K80" s="7">
        <v>200</v>
      </c>
      <c r="L80" s="8" t="s">
        <v>23</v>
      </c>
      <c r="M80" s="6" t="s">
        <v>15</v>
      </c>
      <c r="N80" s="6" t="s">
        <v>44</v>
      </c>
      <c r="O80" s="9" t="s">
        <v>13</v>
      </c>
    </row>
    <row r="81" spans="1:15" x14ac:dyDescent="0.3">
      <c r="A81" s="17">
        <v>80</v>
      </c>
      <c r="B81" s="6" t="s">
        <v>141</v>
      </c>
      <c r="C81" s="6" t="s">
        <v>238</v>
      </c>
      <c r="D81" s="7">
        <v>26.44</v>
      </c>
      <c r="E81" s="8" t="s">
        <v>11</v>
      </c>
      <c r="F81" s="7">
        <v>25</v>
      </c>
      <c r="G81" s="8" t="s">
        <v>11</v>
      </c>
      <c r="H81" s="7">
        <v>0.33</v>
      </c>
      <c r="I81" s="6" t="s">
        <v>12</v>
      </c>
      <c r="J81" s="8" t="s">
        <v>13</v>
      </c>
      <c r="K81" s="7" t="s">
        <v>13</v>
      </c>
      <c r="L81" s="8" t="s">
        <v>20</v>
      </c>
      <c r="M81" s="6" t="s">
        <v>15</v>
      </c>
      <c r="N81" s="6" t="s">
        <v>44</v>
      </c>
      <c r="O81" s="9" t="s">
        <v>13</v>
      </c>
    </row>
    <row r="82" spans="1:15" x14ac:dyDescent="0.3">
      <c r="A82" s="17">
        <v>81</v>
      </c>
      <c r="B82" s="6" t="s">
        <v>142</v>
      </c>
      <c r="C82" s="6" t="s">
        <v>238</v>
      </c>
      <c r="D82" s="7" t="s">
        <v>13</v>
      </c>
      <c r="E82" s="8" t="s">
        <v>20</v>
      </c>
      <c r="F82" s="7">
        <v>25</v>
      </c>
      <c r="G82" s="8" t="s">
        <v>11</v>
      </c>
      <c r="H82" s="7">
        <v>0.5</v>
      </c>
      <c r="I82" s="6" t="s">
        <v>12</v>
      </c>
      <c r="J82" s="8">
        <v>0.755</v>
      </c>
      <c r="K82" s="7" t="s">
        <v>13</v>
      </c>
      <c r="L82" s="8" t="s">
        <v>23</v>
      </c>
      <c r="M82" s="6" t="s">
        <v>15</v>
      </c>
      <c r="N82" s="6" t="s">
        <v>143</v>
      </c>
      <c r="O82" s="9" t="s">
        <v>36</v>
      </c>
    </row>
    <row r="83" spans="1:15" x14ac:dyDescent="0.3">
      <c r="A83" s="17">
        <v>82</v>
      </c>
      <c r="B83" s="6" t="s">
        <v>144</v>
      </c>
      <c r="C83" s="6" t="s">
        <v>238</v>
      </c>
      <c r="D83" s="7">
        <v>39.169999999999995</v>
      </c>
      <c r="E83" s="8" t="s">
        <v>11</v>
      </c>
      <c r="F83" s="7">
        <v>20</v>
      </c>
      <c r="G83" s="8" t="s">
        <v>11</v>
      </c>
      <c r="H83" s="7">
        <v>0.5</v>
      </c>
      <c r="I83" s="6" t="s">
        <v>12</v>
      </c>
      <c r="J83" s="8" t="s">
        <v>13</v>
      </c>
      <c r="K83" s="7" t="s">
        <v>13</v>
      </c>
      <c r="L83" s="8" t="s">
        <v>20</v>
      </c>
      <c r="M83" s="6" t="s">
        <v>15</v>
      </c>
      <c r="N83" s="6" t="s">
        <v>145</v>
      </c>
      <c r="O83" s="9" t="s">
        <v>146</v>
      </c>
    </row>
    <row r="84" spans="1:15" x14ac:dyDescent="0.3">
      <c r="A84" s="17">
        <v>83</v>
      </c>
      <c r="B84" s="6" t="s">
        <v>147</v>
      </c>
      <c r="C84" s="6" t="s">
        <v>238</v>
      </c>
      <c r="D84" s="7">
        <v>20.37</v>
      </c>
      <c r="E84" s="8" t="s">
        <v>11</v>
      </c>
      <c r="F84" s="7">
        <v>17</v>
      </c>
      <c r="G84" s="8" t="s">
        <v>11</v>
      </c>
      <c r="H84" s="7">
        <v>5.5</v>
      </c>
      <c r="I84" s="6" t="s">
        <v>12</v>
      </c>
      <c r="J84" s="8" t="s">
        <v>13</v>
      </c>
      <c r="K84" s="7" t="s">
        <v>13</v>
      </c>
      <c r="L84" s="8" t="s">
        <v>20</v>
      </c>
      <c r="M84" s="6" t="s">
        <v>15</v>
      </c>
      <c r="N84" s="6" t="s">
        <v>55</v>
      </c>
      <c r="O84" s="9" t="s">
        <v>13</v>
      </c>
    </row>
    <row r="85" spans="1:15" x14ac:dyDescent="0.3">
      <c r="A85" s="17">
        <v>84</v>
      </c>
      <c r="B85" s="6" t="s">
        <v>148</v>
      </c>
      <c r="C85" s="6" t="s">
        <v>238</v>
      </c>
      <c r="D85" s="7">
        <v>19.64</v>
      </c>
      <c r="E85" s="8" t="s">
        <v>11</v>
      </c>
      <c r="F85" s="7">
        <v>15</v>
      </c>
      <c r="G85" s="8" t="s">
        <v>11</v>
      </c>
      <c r="H85" s="7">
        <v>0.5</v>
      </c>
      <c r="I85" s="6" t="s">
        <v>12</v>
      </c>
      <c r="J85" s="8" t="s">
        <v>13</v>
      </c>
      <c r="K85" s="7" t="s">
        <v>13</v>
      </c>
      <c r="L85" s="8" t="s">
        <v>20</v>
      </c>
      <c r="M85" s="6" t="s">
        <v>15</v>
      </c>
      <c r="N85" s="6" t="s">
        <v>61</v>
      </c>
      <c r="O85" s="9" t="s">
        <v>65</v>
      </c>
    </row>
    <row r="86" spans="1:15" x14ac:dyDescent="0.3">
      <c r="A86" s="17">
        <v>85</v>
      </c>
      <c r="B86" s="6" t="s">
        <v>149</v>
      </c>
      <c r="C86" s="6" t="s">
        <v>238</v>
      </c>
      <c r="D86" s="7">
        <v>11.86</v>
      </c>
      <c r="E86" s="8" t="s">
        <v>11</v>
      </c>
      <c r="F86" s="7">
        <v>10</v>
      </c>
      <c r="G86" s="8" t="s">
        <v>11</v>
      </c>
      <c r="H86" s="7">
        <v>0.12</v>
      </c>
      <c r="I86" s="6" t="s">
        <v>12</v>
      </c>
      <c r="J86" s="8" t="s">
        <v>13</v>
      </c>
      <c r="K86" s="7" t="s">
        <v>13</v>
      </c>
      <c r="L86" s="8" t="s">
        <v>20</v>
      </c>
      <c r="M86" s="6" t="s">
        <v>15</v>
      </c>
      <c r="N86" s="6" t="s">
        <v>44</v>
      </c>
      <c r="O86" s="9" t="s">
        <v>13</v>
      </c>
    </row>
    <row r="87" spans="1:15" x14ac:dyDescent="0.3">
      <c r="A87" s="17">
        <v>86</v>
      </c>
      <c r="B87" s="6" t="s">
        <v>150</v>
      </c>
      <c r="C87" s="6" t="s">
        <v>238</v>
      </c>
      <c r="D87" s="7">
        <v>3.92</v>
      </c>
      <c r="E87" s="8" t="s">
        <v>11</v>
      </c>
      <c r="F87" s="7">
        <v>4</v>
      </c>
      <c r="G87" s="8" t="s">
        <v>11</v>
      </c>
      <c r="H87" s="7">
        <v>0.25</v>
      </c>
      <c r="I87" s="6" t="s">
        <v>12</v>
      </c>
      <c r="J87" s="8" t="s">
        <v>13</v>
      </c>
      <c r="K87" s="7" t="s">
        <v>13</v>
      </c>
      <c r="L87" s="8" t="s">
        <v>20</v>
      </c>
      <c r="M87" s="6" t="s">
        <v>15</v>
      </c>
      <c r="N87" s="6" t="s">
        <v>55</v>
      </c>
      <c r="O87" s="9" t="s">
        <v>151</v>
      </c>
    </row>
    <row r="88" spans="1:15" x14ac:dyDescent="0.3">
      <c r="A88" s="17">
        <v>87</v>
      </c>
      <c r="B88" s="6" t="s">
        <v>152</v>
      </c>
      <c r="C88" s="6" t="s">
        <v>238</v>
      </c>
      <c r="D88" s="7">
        <v>6462.71</v>
      </c>
      <c r="E88" s="8" t="s">
        <v>11</v>
      </c>
      <c r="F88" s="7">
        <v>8000</v>
      </c>
      <c r="G88" s="8" t="s">
        <v>11</v>
      </c>
      <c r="H88" s="7">
        <v>7.5</v>
      </c>
      <c r="I88" s="6" t="s">
        <v>12</v>
      </c>
      <c r="J88" s="8" t="s">
        <v>13</v>
      </c>
      <c r="K88" s="7">
        <v>67</v>
      </c>
      <c r="L88" s="8" t="s">
        <v>23</v>
      </c>
      <c r="M88" s="6" t="s">
        <v>110</v>
      </c>
      <c r="N88" s="6" t="s">
        <v>55</v>
      </c>
      <c r="O88" s="9" t="s">
        <v>153</v>
      </c>
    </row>
    <row r="89" spans="1:15" x14ac:dyDescent="0.3">
      <c r="A89" s="17">
        <v>88</v>
      </c>
      <c r="B89" s="6" t="s">
        <v>154</v>
      </c>
      <c r="C89" s="6" t="s">
        <v>238</v>
      </c>
      <c r="D89" s="7">
        <v>5875.1900000000005</v>
      </c>
      <c r="E89" s="8" t="s">
        <v>11</v>
      </c>
      <c r="F89" s="7">
        <v>6000</v>
      </c>
      <c r="G89" s="8" t="s">
        <v>11</v>
      </c>
      <c r="H89" s="7">
        <v>30</v>
      </c>
      <c r="I89" s="6" t="s">
        <v>12</v>
      </c>
      <c r="J89" s="8" t="s">
        <v>13</v>
      </c>
      <c r="K89" s="7" t="s">
        <v>14</v>
      </c>
      <c r="L89" s="8" t="s">
        <v>20</v>
      </c>
      <c r="M89" s="6" t="s">
        <v>110</v>
      </c>
      <c r="N89" s="6" t="s">
        <v>44</v>
      </c>
      <c r="O89" s="9" t="s">
        <v>112</v>
      </c>
    </row>
    <row r="90" spans="1:15" x14ac:dyDescent="0.3">
      <c r="A90" s="17">
        <v>89</v>
      </c>
      <c r="B90" s="6" t="s">
        <v>155</v>
      </c>
      <c r="C90" s="6" t="s">
        <v>238</v>
      </c>
      <c r="D90" s="7">
        <v>4990</v>
      </c>
      <c r="E90" s="8" t="s">
        <v>11</v>
      </c>
      <c r="F90" s="7">
        <v>5000</v>
      </c>
      <c r="G90" s="8" t="s">
        <v>11</v>
      </c>
      <c r="H90" s="7">
        <v>15</v>
      </c>
      <c r="I90" s="6" t="s">
        <v>12</v>
      </c>
      <c r="J90" s="8">
        <v>0.89759999999999995</v>
      </c>
      <c r="K90" s="7">
        <v>26.5</v>
      </c>
      <c r="L90" s="8" t="s">
        <v>23</v>
      </c>
      <c r="M90" s="6" t="s">
        <v>110</v>
      </c>
      <c r="N90" s="6" t="s">
        <v>52</v>
      </c>
      <c r="O90" s="9" t="s">
        <v>156</v>
      </c>
    </row>
    <row r="91" spans="1:15" x14ac:dyDescent="0.3">
      <c r="A91" s="17">
        <v>90</v>
      </c>
      <c r="B91" s="6" t="s">
        <v>157</v>
      </c>
      <c r="C91" s="6" t="s">
        <v>238</v>
      </c>
      <c r="D91" s="7">
        <v>158.63999999999999</v>
      </c>
      <c r="E91" s="8" t="s">
        <v>11</v>
      </c>
      <c r="F91" s="7">
        <v>170</v>
      </c>
      <c r="G91" s="8" t="s">
        <v>11</v>
      </c>
      <c r="H91" s="7">
        <v>0.25</v>
      </c>
      <c r="I91" s="6" t="s">
        <v>12</v>
      </c>
      <c r="J91" s="8">
        <v>0.505</v>
      </c>
      <c r="K91" s="7" t="s">
        <v>13</v>
      </c>
      <c r="L91" s="8" t="s">
        <v>20</v>
      </c>
      <c r="M91" s="6" t="s">
        <v>15</v>
      </c>
      <c r="N91" s="6" t="s">
        <v>44</v>
      </c>
      <c r="O91" s="9" t="s">
        <v>36</v>
      </c>
    </row>
    <row r="92" spans="1:15" x14ac:dyDescent="0.3">
      <c r="A92" s="17">
        <v>91</v>
      </c>
      <c r="B92" s="6" t="s">
        <v>158</v>
      </c>
      <c r="C92" s="6" t="s">
        <v>238</v>
      </c>
      <c r="D92" s="7">
        <v>125.34</v>
      </c>
      <c r="E92" s="8" t="s">
        <v>11</v>
      </c>
      <c r="F92" s="7">
        <v>100</v>
      </c>
      <c r="G92" s="8" t="s">
        <v>11</v>
      </c>
      <c r="H92" s="7">
        <v>0.5</v>
      </c>
      <c r="I92" s="6" t="s">
        <v>12</v>
      </c>
      <c r="J92" s="8" t="s">
        <v>13</v>
      </c>
      <c r="K92" s="7">
        <v>36</v>
      </c>
      <c r="L92" s="8" t="s">
        <v>23</v>
      </c>
      <c r="M92" s="6" t="s">
        <v>15</v>
      </c>
      <c r="N92" s="6" t="s">
        <v>159</v>
      </c>
      <c r="O92" s="9" t="s">
        <v>50</v>
      </c>
    </row>
    <row r="93" spans="1:15" x14ac:dyDescent="0.3">
      <c r="A93" s="17">
        <v>92</v>
      </c>
      <c r="B93" s="6" t="s">
        <v>160</v>
      </c>
      <c r="C93" s="6" t="s">
        <v>238</v>
      </c>
      <c r="D93" s="7">
        <v>291.51</v>
      </c>
      <c r="E93" s="8" t="s">
        <v>11</v>
      </c>
      <c r="F93" s="7">
        <v>280</v>
      </c>
      <c r="G93" s="8" t="s">
        <v>11</v>
      </c>
      <c r="H93" s="7">
        <v>0.5</v>
      </c>
      <c r="I93" s="6" t="s">
        <v>12</v>
      </c>
      <c r="J93" s="8" t="s">
        <v>13</v>
      </c>
      <c r="K93" s="7">
        <v>36</v>
      </c>
      <c r="L93" s="8" t="s">
        <v>23</v>
      </c>
      <c r="M93" s="6" t="s">
        <v>161</v>
      </c>
      <c r="N93" s="6" t="s">
        <v>61</v>
      </c>
      <c r="O93" s="9" t="s">
        <v>14</v>
      </c>
    </row>
    <row r="94" spans="1:15" x14ac:dyDescent="0.3">
      <c r="A94" s="17">
        <v>93</v>
      </c>
      <c r="B94" s="6" t="s">
        <v>162</v>
      </c>
      <c r="C94" s="6" t="s">
        <v>238</v>
      </c>
      <c r="D94" s="7">
        <v>248.23</v>
      </c>
      <c r="E94" s="8" t="s">
        <v>11</v>
      </c>
      <c r="F94" s="7">
        <v>260</v>
      </c>
      <c r="G94" s="8" t="s">
        <v>11</v>
      </c>
      <c r="H94" s="7">
        <v>1.6</v>
      </c>
      <c r="I94" s="6" t="s">
        <v>12</v>
      </c>
      <c r="J94" s="8" t="s">
        <v>13</v>
      </c>
      <c r="K94" s="7" t="s">
        <v>13</v>
      </c>
      <c r="L94" s="8" t="s">
        <v>20</v>
      </c>
      <c r="M94" s="6" t="s">
        <v>110</v>
      </c>
      <c r="N94" s="6" t="s">
        <v>61</v>
      </c>
      <c r="O94" s="9" t="s">
        <v>53</v>
      </c>
    </row>
    <row r="95" spans="1:15" x14ac:dyDescent="0.3">
      <c r="A95" s="17">
        <v>94</v>
      </c>
      <c r="B95" s="6" t="s">
        <v>163</v>
      </c>
      <c r="C95" s="6" t="s">
        <v>238</v>
      </c>
      <c r="D95" s="7">
        <v>215.92</v>
      </c>
      <c r="E95" s="8" t="s">
        <v>11</v>
      </c>
      <c r="F95" s="7">
        <v>236</v>
      </c>
      <c r="G95" s="8" t="s">
        <v>11</v>
      </c>
      <c r="H95" s="7">
        <v>15</v>
      </c>
      <c r="I95" s="6" t="s">
        <v>12</v>
      </c>
      <c r="J95" s="8" t="s">
        <v>13</v>
      </c>
      <c r="K95" s="7" t="s">
        <v>60</v>
      </c>
      <c r="L95" s="8" t="s">
        <v>23</v>
      </c>
      <c r="M95" s="6" t="s">
        <v>15</v>
      </c>
      <c r="N95" s="6" t="s">
        <v>61</v>
      </c>
      <c r="O95" s="9" t="s">
        <v>53</v>
      </c>
    </row>
    <row r="96" spans="1:15" x14ac:dyDescent="0.3">
      <c r="A96" s="17">
        <v>95</v>
      </c>
      <c r="B96" s="6" t="s">
        <v>164</v>
      </c>
      <c r="C96" s="6" t="s">
        <v>238</v>
      </c>
      <c r="D96" s="7">
        <v>235.01</v>
      </c>
      <c r="E96" s="8" t="s">
        <v>11</v>
      </c>
      <c r="F96" s="7">
        <v>235</v>
      </c>
      <c r="G96" s="8" t="s">
        <v>11</v>
      </c>
      <c r="H96" s="7">
        <v>1</v>
      </c>
      <c r="I96" s="6" t="s">
        <v>12</v>
      </c>
      <c r="J96" s="8" t="s">
        <v>13</v>
      </c>
      <c r="K96" s="7" t="s">
        <v>13</v>
      </c>
      <c r="L96" s="8" t="s">
        <v>20</v>
      </c>
      <c r="M96" s="6" t="s">
        <v>165</v>
      </c>
      <c r="N96" s="6" t="s">
        <v>61</v>
      </c>
      <c r="O96" s="9" t="s">
        <v>53</v>
      </c>
    </row>
    <row r="97" spans="1:15" x14ac:dyDescent="0.3">
      <c r="A97" s="17">
        <v>96</v>
      </c>
      <c r="B97" s="6" t="s">
        <v>166</v>
      </c>
      <c r="C97" s="6" t="s">
        <v>238</v>
      </c>
      <c r="D97" s="7">
        <v>144.41</v>
      </c>
      <c r="E97" s="8" t="s">
        <v>11</v>
      </c>
      <c r="F97" s="7">
        <v>230</v>
      </c>
      <c r="G97" s="8" t="s">
        <v>11</v>
      </c>
      <c r="H97" s="7">
        <v>0.33</v>
      </c>
      <c r="I97" s="6" t="s">
        <v>12</v>
      </c>
      <c r="J97" s="8" t="s">
        <v>13</v>
      </c>
      <c r="K97" s="7" t="s">
        <v>13</v>
      </c>
      <c r="L97" s="8" t="s">
        <v>20</v>
      </c>
      <c r="M97" s="6" t="s">
        <v>15</v>
      </c>
      <c r="N97" s="6" t="s">
        <v>44</v>
      </c>
      <c r="O97" s="9" t="s">
        <v>36</v>
      </c>
    </row>
    <row r="98" spans="1:15" x14ac:dyDescent="0.3">
      <c r="A98" s="17">
        <v>97</v>
      </c>
      <c r="B98" s="6" t="s">
        <v>167</v>
      </c>
      <c r="C98" s="6" t="s">
        <v>238</v>
      </c>
      <c r="D98" s="7">
        <v>235.01</v>
      </c>
      <c r="E98" s="8" t="s">
        <v>11</v>
      </c>
      <c r="F98" s="7">
        <v>200</v>
      </c>
      <c r="G98" s="8" t="s">
        <v>11</v>
      </c>
      <c r="H98" s="7">
        <v>3</v>
      </c>
      <c r="I98" s="6" t="s">
        <v>12</v>
      </c>
      <c r="J98" s="8" t="s">
        <v>13</v>
      </c>
      <c r="K98" s="7">
        <v>20</v>
      </c>
      <c r="L98" s="8" t="s">
        <v>23</v>
      </c>
      <c r="M98" s="6" t="s">
        <v>110</v>
      </c>
      <c r="N98" s="6" t="s">
        <v>61</v>
      </c>
      <c r="O98" s="9" t="s">
        <v>53</v>
      </c>
    </row>
    <row r="99" spans="1:15" x14ac:dyDescent="0.3">
      <c r="A99" s="17">
        <v>98</v>
      </c>
      <c r="B99" s="6" t="s">
        <v>168</v>
      </c>
      <c r="C99" s="6" t="s">
        <v>238</v>
      </c>
      <c r="D99" s="7">
        <v>165.23999999999998</v>
      </c>
      <c r="E99" s="8" t="s">
        <v>11</v>
      </c>
      <c r="F99" s="7">
        <v>175</v>
      </c>
      <c r="G99" s="8" t="s">
        <v>11</v>
      </c>
      <c r="H99" s="7">
        <v>0.75</v>
      </c>
      <c r="I99" s="6" t="s">
        <v>12</v>
      </c>
      <c r="J99" s="8">
        <v>0.74</v>
      </c>
      <c r="K99" s="7">
        <v>99</v>
      </c>
      <c r="L99" s="8" t="s">
        <v>23</v>
      </c>
      <c r="M99" s="6" t="s">
        <v>15</v>
      </c>
      <c r="N99" s="6" t="s">
        <v>61</v>
      </c>
      <c r="O99" s="9" t="s">
        <v>53</v>
      </c>
    </row>
    <row r="100" spans="1:15" x14ac:dyDescent="0.3">
      <c r="A100" s="17">
        <v>99</v>
      </c>
      <c r="B100" s="6" t="s">
        <v>169</v>
      </c>
      <c r="C100" s="6" t="s">
        <v>238</v>
      </c>
      <c r="D100" s="7">
        <v>158.63999999999999</v>
      </c>
      <c r="E100" s="8" t="s">
        <v>11</v>
      </c>
      <c r="F100" s="7">
        <v>150</v>
      </c>
      <c r="G100" s="8" t="s">
        <v>11</v>
      </c>
      <c r="H100" s="7">
        <v>0.5</v>
      </c>
      <c r="I100" s="6" t="s">
        <v>12</v>
      </c>
      <c r="J100" s="8" t="s">
        <v>13</v>
      </c>
      <c r="K100" s="7" t="s">
        <v>13</v>
      </c>
      <c r="L100" s="8" t="s">
        <v>20</v>
      </c>
      <c r="M100" s="6" t="s">
        <v>15</v>
      </c>
      <c r="N100" s="6" t="s">
        <v>61</v>
      </c>
      <c r="O100" s="9" t="s">
        <v>13</v>
      </c>
    </row>
    <row r="101" spans="1:15" x14ac:dyDescent="0.3">
      <c r="A101" s="17">
        <v>100</v>
      </c>
      <c r="B101" s="6" t="s">
        <v>170</v>
      </c>
      <c r="C101" s="6" t="s">
        <v>238</v>
      </c>
      <c r="D101" s="7">
        <v>47.01</v>
      </c>
      <c r="E101" s="8" t="s">
        <v>11</v>
      </c>
      <c r="F101" s="7">
        <v>140</v>
      </c>
      <c r="G101" s="8" t="s">
        <v>11</v>
      </c>
      <c r="H101" s="7">
        <v>0.5</v>
      </c>
      <c r="I101" s="6" t="s">
        <v>12</v>
      </c>
      <c r="J101" s="8" t="s">
        <v>13</v>
      </c>
      <c r="K101" s="7" t="s">
        <v>13</v>
      </c>
      <c r="L101" s="8" t="s">
        <v>20</v>
      </c>
      <c r="M101" s="6" t="s">
        <v>15</v>
      </c>
      <c r="N101" s="6" t="s">
        <v>44</v>
      </c>
      <c r="O101" s="9" t="s">
        <v>87</v>
      </c>
    </row>
    <row r="102" spans="1:15" x14ac:dyDescent="0.3">
      <c r="A102" s="17">
        <v>101</v>
      </c>
      <c r="B102" s="6" t="s">
        <v>171</v>
      </c>
      <c r="C102" s="6" t="s">
        <v>238</v>
      </c>
      <c r="D102" s="7">
        <v>94.01</v>
      </c>
      <c r="E102" s="8" t="s">
        <v>11</v>
      </c>
      <c r="F102" s="7">
        <v>125</v>
      </c>
      <c r="G102" s="8" t="s">
        <v>11</v>
      </c>
      <c r="H102" s="7">
        <v>1.5</v>
      </c>
      <c r="I102" s="6" t="s">
        <v>12</v>
      </c>
      <c r="J102" s="8" t="s">
        <v>13</v>
      </c>
      <c r="K102" s="7" t="s">
        <v>13</v>
      </c>
      <c r="L102" s="8" t="s">
        <v>20</v>
      </c>
      <c r="M102" s="6" t="s">
        <v>110</v>
      </c>
      <c r="N102" s="6" t="s">
        <v>44</v>
      </c>
      <c r="O102" s="9" t="s">
        <v>13</v>
      </c>
    </row>
    <row r="103" spans="1:15" x14ac:dyDescent="0.3">
      <c r="A103" s="17">
        <v>102</v>
      </c>
      <c r="B103" s="6" t="s">
        <v>172</v>
      </c>
      <c r="C103" s="6" t="s">
        <v>238</v>
      </c>
      <c r="D103" s="7">
        <v>85.300000000000011</v>
      </c>
      <c r="E103" s="8" t="s">
        <v>11</v>
      </c>
      <c r="F103" s="7">
        <v>100</v>
      </c>
      <c r="G103" s="8" t="s">
        <v>11</v>
      </c>
      <c r="H103" s="7">
        <v>0.33</v>
      </c>
      <c r="I103" s="6" t="s">
        <v>12</v>
      </c>
      <c r="J103" s="8" t="s">
        <v>13</v>
      </c>
      <c r="K103" s="7" t="s">
        <v>13</v>
      </c>
      <c r="L103" s="8" t="s">
        <v>20</v>
      </c>
      <c r="M103" s="6" t="s">
        <v>165</v>
      </c>
      <c r="N103" s="6" t="s">
        <v>61</v>
      </c>
      <c r="O103" s="9" t="s">
        <v>87</v>
      </c>
    </row>
    <row r="104" spans="1:15" x14ac:dyDescent="0.3">
      <c r="A104" s="17">
        <v>103</v>
      </c>
      <c r="B104" s="6" t="s">
        <v>173</v>
      </c>
      <c r="C104" s="6" t="s">
        <v>238</v>
      </c>
      <c r="D104" s="7">
        <v>105.76</v>
      </c>
      <c r="E104" s="8" t="s">
        <v>11</v>
      </c>
      <c r="F104" s="7">
        <v>100</v>
      </c>
      <c r="G104" s="8" t="s">
        <v>11</v>
      </c>
      <c r="H104" s="7">
        <v>0.25</v>
      </c>
      <c r="I104" s="6" t="s">
        <v>12</v>
      </c>
      <c r="J104" s="8" t="s">
        <v>13</v>
      </c>
      <c r="K104" s="7">
        <v>58</v>
      </c>
      <c r="L104" s="8" t="s">
        <v>23</v>
      </c>
      <c r="M104" s="6" t="s">
        <v>174</v>
      </c>
      <c r="N104" s="6" t="s">
        <v>61</v>
      </c>
      <c r="O104" s="9" t="s">
        <v>57</v>
      </c>
    </row>
    <row r="105" spans="1:15" x14ac:dyDescent="0.3">
      <c r="A105" s="17">
        <v>104</v>
      </c>
      <c r="B105" s="6" t="s">
        <v>175</v>
      </c>
      <c r="C105" s="6" t="s">
        <v>238</v>
      </c>
      <c r="D105" s="7">
        <v>59.25</v>
      </c>
      <c r="E105" s="8" t="s">
        <v>11</v>
      </c>
      <c r="F105" s="7">
        <v>60</v>
      </c>
      <c r="G105" s="8" t="s">
        <v>11</v>
      </c>
      <c r="H105" s="7">
        <v>0.25</v>
      </c>
      <c r="I105" s="6" t="s">
        <v>12</v>
      </c>
      <c r="J105" s="8" t="s">
        <v>13</v>
      </c>
      <c r="K105" s="7" t="s">
        <v>13</v>
      </c>
      <c r="L105" s="8" t="s">
        <v>20</v>
      </c>
      <c r="M105" s="6" t="s">
        <v>15</v>
      </c>
      <c r="N105" s="6" t="s">
        <v>176</v>
      </c>
      <c r="O105" s="9" t="s">
        <v>87</v>
      </c>
    </row>
    <row r="106" spans="1:15" x14ac:dyDescent="0.3">
      <c r="A106" s="17">
        <v>105</v>
      </c>
      <c r="B106" s="6" t="s">
        <v>177</v>
      </c>
      <c r="C106" s="6" t="s">
        <v>238</v>
      </c>
      <c r="D106" s="7">
        <v>55.08</v>
      </c>
      <c r="E106" s="8" t="s">
        <v>11</v>
      </c>
      <c r="F106" s="7">
        <v>55</v>
      </c>
      <c r="G106" s="8" t="s">
        <v>11</v>
      </c>
      <c r="H106" s="7">
        <v>0.25</v>
      </c>
      <c r="I106" s="6" t="s">
        <v>12</v>
      </c>
      <c r="J106" s="8" t="s">
        <v>13</v>
      </c>
      <c r="K106" s="7" t="s">
        <v>13</v>
      </c>
      <c r="L106" s="8" t="s">
        <v>20</v>
      </c>
      <c r="M106" s="6" t="s">
        <v>15</v>
      </c>
      <c r="N106" s="6" t="s">
        <v>44</v>
      </c>
      <c r="O106" s="9" t="s">
        <v>36</v>
      </c>
    </row>
    <row r="107" spans="1:15" x14ac:dyDescent="0.3">
      <c r="A107" s="17">
        <v>106</v>
      </c>
      <c r="B107" s="6" t="s">
        <v>178</v>
      </c>
      <c r="C107" s="6" t="s">
        <v>238</v>
      </c>
      <c r="D107" s="7">
        <v>79.320000000000007</v>
      </c>
      <c r="E107" s="8" t="s">
        <v>11</v>
      </c>
      <c r="F107" s="7">
        <v>55</v>
      </c>
      <c r="G107" s="8" t="s">
        <v>11</v>
      </c>
      <c r="H107" s="7">
        <v>3</v>
      </c>
      <c r="I107" s="6" t="s">
        <v>12</v>
      </c>
      <c r="J107" s="8">
        <v>0.67500000000000004</v>
      </c>
      <c r="K107" s="7" t="s">
        <v>13</v>
      </c>
      <c r="L107" s="8" t="s">
        <v>20</v>
      </c>
      <c r="M107" s="6" t="s">
        <v>15</v>
      </c>
      <c r="N107" s="6" t="s">
        <v>61</v>
      </c>
      <c r="O107" s="9" t="s">
        <v>65</v>
      </c>
    </row>
    <row r="108" spans="1:15" x14ac:dyDescent="0.3">
      <c r="A108" s="17">
        <v>107</v>
      </c>
      <c r="B108" s="6" t="s">
        <v>179</v>
      </c>
      <c r="C108" s="6" t="s">
        <v>238</v>
      </c>
      <c r="D108" s="7">
        <v>58.76</v>
      </c>
      <c r="E108" s="8" t="s">
        <v>11</v>
      </c>
      <c r="F108" s="7">
        <v>50</v>
      </c>
      <c r="G108" s="8" t="s">
        <v>11</v>
      </c>
      <c r="H108" s="7">
        <v>3</v>
      </c>
      <c r="I108" s="6" t="s">
        <v>12</v>
      </c>
      <c r="J108" s="8" t="s">
        <v>13</v>
      </c>
      <c r="K108" s="7" t="s">
        <v>13</v>
      </c>
      <c r="L108" s="8" t="s">
        <v>20</v>
      </c>
      <c r="M108" s="6" t="s">
        <v>15</v>
      </c>
      <c r="N108" s="6" t="s">
        <v>61</v>
      </c>
      <c r="O108" s="9" t="s">
        <v>180</v>
      </c>
    </row>
    <row r="109" spans="1:15" x14ac:dyDescent="0.3">
      <c r="A109" s="17">
        <v>108</v>
      </c>
      <c r="B109" s="6" t="s">
        <v>181</v>
      </c>
      <c r="C109" s="6" t="s">
        <v>238</v>
      </c>
      <c r="D109" s="7">
        <v>208</v>
      </c>
      <c r="E109" s="8" t="s">
        <v>11</v>
      </c>
      <c r="F109" s="7">
        <v>154</v>
      </c>
      <c r="G109" s="8" t="s">
        <v>11</v>
      </c>
      <c r="H109" s="7">
        <v>2.0199999999999996</v>
      </c>
      <c r="I109" s="6" t="s">
        <v>12</v>
      </c>
      <c r="J109" s="8" t="s">
        <v>13</v>
      </c>
      <c r="K109" s="7">
        <v>390</v>
      </c>
      <c r="L109" s="8" t="s">
        <v>23</v>
      </c>
      <c r="M109" s="6" t="s">
        <v>15</v>
      </c>
      <c r="N109" s="6" t="s">
        <v>61</v>
      </c>
      <c r="O109" s="9" t="s">
        <v>13</v>
      </c>
    </row>
    <row r="110" spans="1:15" x14ac:dyDescent="0.3">
      <c r="A110" s="17">
        <v>109</v>
      </c>
      <c r="B110" s="6" t="s">
        <v>182</v>
      </c>
      <c r="C110" s="6" t="s">
        <v>238</v>
      </c>
      <c r="D110" s="7">
        <v>359</v>
      </c>
      <c r="E110" s="8" t="s">
        <v>11</v>
      </c>
      <c r="F110" s="7">
        <v>312</v>
      </c>
      <c r="G110" s="8" t="s">
        <v>11</v>
      </c>
      <c r="H110" s="7">
        <v>2.96</v>
      </c>
      <c r="I110" s="6" t="s">
        <v>12</v>
      </c>
      <c r="J110" s="8" t="s">
        <v>13</v>
      </c>
      <c r="K110" s="7">
        <v>390</v>
      </c>
      <c r="L110" s="8" t="s">
        <v>23</v>
      </c>
      <c r="M110" s="6" t="s">
        <v>15</v>
      </c>
      <c r="N110" s="6" t="s">
        <v>61</v>
      </c>
      <c r="O110" s="9" t="s">
        <v>13</v>
      </c>
    </row>
    <row r="111" spans="1:15" x14ac:dyDescent="0.3">
      <c r="A111" s="17">
        <v>110</v>
      </c>
      <c r="B111" s="6" t="s">
        <v>183</v>
      </c>
      <c r="C111" s="6" t="s">
        <v>238</v>
      </c>
      <c r="D111" s="7">
        <v>701</v>
      </c>
      <c r="E111" s="8" t="s">
        <v>11</v>
      </c>
      <c r="F111" s="7">
        <v>582</v>
      </c>
      <c r="G111" s="8" t="s">
        <v>11</v>
      </c>
      <c r="H111" s="7">
        <v>4.0299999999999994</v>
      </c>
      <c r="I111" s="6" t="s">
        <v>12</v>
      </c>
      <c r="J111" s="8" t="s">
        <v>13</v>
      </c>
      <c r="K111" s="7">
        <v>280</v>
      </c>
      <c r="L111" s="8" t="s">
        <v>23</v>
      </c>
      <c r="M111" s="6" t="s">
        <v>15</v>
      </c>
      <c r="N111" s="6" t="s">
        <v>61</v>
      </c>
      <c r="O111" s="9" t="s">
        <v>13</v>
      </c>
    </row>
    <row r="112" spans="1:15" x14ac:dyDescent="0.3">
      <c r="A112" s="17">
        <v>111</v>
      </c>
      <c r="B112" s="6" t="s">
        <v>184</v>
      </c>
      <c r="C112" s="6" t="s">
        <v>238</v>
      </c>
      <c r="D112" s="7">
        <v>1660</v>
      </c>
      <c r="E112" s="8" t="s">
        <v>11</v>
      </c>
      <c r="F112" s="7">
        <v>1480</v>
      </c>
      <c r="G112" s="8" t="s">
        <v>11</v>
      </c>
      <c r="H112" s="7">
        <v>7.38</v>
      </c>
      <c r="I112" s="6" t="s">
        <v>12</v>
      </c>
      <c r="J112" s="8" t="s">
        <v>13</v>
      </c>
      <c r="K112" s="7">
        <v>210</v>
      </c>
      <c r="L112" s="8" t="s">
        <v>23</v>
      </c>
      <c r="M112" s="6" t="s">
        <v>15</v>
      </c>
      <c r="N112" s="6" t="s">
        <v>61</v>
      </c>
      <c r="O112" s="9" t="s">
        <v>13</v>
      </c>
    </row>
    <row r="113" spans="1:15" x14ac:dyDescent="0.3">
      <c r="A113" s="17">
        <v>112</v>
      </c>
      <c r="B113" s="6" t="s">
        <v>185</v>
      </c>
      <c r="C113" s="6" t="s">
        <v>238</v>
      </c>
      <c r="D113" s="7">
        <v>3242</v>
      </c>
      <c r="E113" s="8" t="s">
        <v>11</v>
      </c>
      <c r="F113" s="7">
        <v>2959</v>
      </c>
      <c r="G113" s="8" t="s">
        <v>11</v>
      </c>
      <c r="H113" s="7">
        <v>10.06</v>
      </c>
      <c r="I113" s="6" t="s">
        <v>12</v>
      </c>
      <c r="J113" s="8" t="s">
        <v>13</v>
      </c>
      <c r="K113" s="7">
        <v>190</v>
      </c>
      <c r="L113" s="8" t="s">
        <v>23</v>
      </c>
      <c r="M113" s="6" t="s">
        <v>15</v>
      </c>
      <c r="N113" s="6" t="s">
        <v>61</v>
      </c>
      <c r="O113" s="9" t="s">
        <v>13</v>
      </c>
    </row>
    <row r="114" spans="1:15" x14ac:dyDescent="0.3">
      <c r="A114" s="17">
        <v>113</v>
      </c>
      <c r="B114" s="6" t="s">
        <v>186</v>
      </c>
      <c r="C114" s="6" t="s">
        <v>238</v>
      </c>
      <c r="D114" s="7">
        <v>5602</v>
      </c>
      <c r="E114" s="8" t="s">
        <v>11</v>
      </c>
      <c r="F114" s="7">
        <v>5020</v>
      </c>
      <c r="G114" s="8" t="s">
        <v>11</v>
      </c>
      <c r="H114" s="7">
        <v>24.810000000000002</v>
      </c>
      <c r="I114" s="6" t="s">
        <v>12</v>
      </c>
      <c r="J114" s="8" t="s">
        <v>13</v>
      </c>
      <c r="K114" s="7">
        <v>140</v>
      </c>
      <c r="L114" s="8" t="s">
        <v>23</v>
      </c>
      <c r="M114" s="6" t="s">
        <v>15</v>
      </c>
      <c r="N114" s="6" t="s">
        <v>61</v>
      </c>
      <c r="O114" s="9" t="s">
        <v>13</v>
      </c>
    </row>
    <row r="115" spans="1:15" x14ac:dyDescent="0.3">
      <c r="A115" s="17">
        <v>114</v>
      </c>
      <c r="B115" s="6" t="s">
        <v>187</v>
      </c>
      <c r="C115" s="6" t="s">
        <v>238</v>
      </c>
      <c r="D115" s="7">
        <v>8896</v>
      </c>
      <c r="E115" s="8" t="s">
        <v>11</v>
      </c>
      <c r="F115" s="7">
        <v>7661</v>
      </c>
      <c r="G115" s="8" t="s">
        <v>11</v>
      </c>
      <c r="H115" s="7">
        <v>40.239999999999995</v>
      </c>
      <c r="I115" s="6" t="s">
        <v>12</v>
      </c>
      <c r="J115" s="8" t="s">
        <v>13</v>
      </c>
      <c r="K115" s="7">
        <v>230</v>
      </c>
      <c r="L115" s="8" t="s">
        <v>23</v>
      </c>
      <c r="M115" s="6" t="s">
        <v>15</v>
      </c>
      <c r="N115" s="6" t="s">
        <v>61</v>
      </c>
      <c r="O115" s="9" t="s">
        <v>13</v>
      </c>
    </row>
    <row r="116" spans="1:15" x14ac:dyDescent="0.3">
      <c r="A116" s="17">
        <v>115</v>
      </c>
      <c r="B116" s="6" t="s">
        <v>188</v>
      </c>
      <c r="C116" s="6" t="s">
        <v>238</v>
      </c>
      <c r="D116" s="7">
        <v>13279</v>
      </c>
      <c r="E116" s="8" t="s">
        <v>11</v>
      </c>
      <c r="F116" s="7">
        <v>11888</v>
      </c>
      <c r="G116" s="8" t="s">
        <v>11</v>
      </c>
      <c r="H116" s="7">
        <v>49.62</v>
      </c>
      <c r="I116" s="6" t="s">
        <v>12</v>
      </c>
      <c r="J116" s="8" t="s">
        <v>13</v>
      </c>
      <c r="K116" s="7">
        <v>210</v>
      </c>
      <c r="L116" s="8" t="s">
        <v>23</v>
      </c>
      <c r="M116" s="6" t="s">
        <v>15</v>
      </c>
      <c r="N116" s="6" t="s">
        <v>61</v>
      </c>
      <c r="O116" s="9" t="s">
        <v>13</v>
      </c>
    </row>
    <row r="117" spans="1:15" x14ac:dyDescent="0.3">
      <c r="A117" s="17">
        <v>116</v>
      </c>
      <c r="B117" s="6" t="s">
        <v>189</v>
      </c>
      <c r="C117" s="6" t="s">
        <v>238</v>
      </c>
      <c r="D117" s="7">
        <v>312</v>
      </c>
      <c r="E117" s="8" t="s">
        <v>11</v>
      </c>
      <c r="F117" s="7">
        <v>265</v>
      </c>
      <c r="G117" s="8" t="s">
        <v>11</v>
      </c>
      <c r="H117" s="7">
        <v>2.96</v>
      </c>
      <c r="I117" s="6" t="s">
        <v>12</v>
      </c>
      <c r="J117" s="8" t="s">
        <v>13</v>
      </c>
      <c r="K117" s="7">
        <v>510</v>
      </c>
      <c r="L117" s="8" t="s">
        <v>23</v>
      </c>
      <c r="M117" s="6" t="s">
        <v>15</v>
      </c>
      <c r="N117" s="6" t="s">
        <v>61</v>
      </c>
      <c r="O117" s="9" t="s">
        <v>13</v>
      </c>
    </row>
    <row r="118" spans="1:15" x14ac:dyDescent="0.3">
      <c r="A118" s="17">
        <v>117</v>
      </c>
      <c r="B118" s="6" t="s">
        <v>190</v>
      </c>
      <c r="C118" s="6" t="s">
        <v>238</v>
      </c>
      <c r="D118" s="7">
        <v>934</v>
      </c>
      <c r="E118" s="8" t="s">
        <v>11</v>
      </c>
      <c r="F118" s="7">
        <v>767</v>
      </c>
      <c r="G118" s="8" t="s">
        <v>11</v>
      </c>
      <c r="H118" s="7">
        <v>5.37</v>
      </c>
      <c r="I118" s="6" t="s">
        <v>12</v>
      </c>
      <c r="J118" s="8" t="s">
        <v>13</v>
      </c>
      <c r="K118" s="7">
        <v>400</v>
      </c>
      <c r="L118" s="8" t="s">
        <v>23</v>
      </c>
      <c r="M118" s="6" t="s">
        <v>15</v>
      </c>
      <c r="N118" s="6" t="s">
        <v>61</v>
      </c>
      <c r="O118" s="9" t="s">
        <v>13</v>
      </c>
    </row>
    <row r="119" spans="1:15" x14ac:dyDescent="0.3">
      <c r="A119" s="17">
        <v>118</v>
      </c>
      <c r="B119" s="6" t="s">
        <v>191</v>
      </c>
      <c r="C119" s="6" t="s">
        <v>238</v>
      </c>
      <c r="D119" s="7">
        <v>1660</v>
      </c>
      <c r="E119" s="8" t="s">
        <v>11</v>
      </c>
      <c r="F119" s="7">
        <v>1480</v>
      </c>
      <c r="G119" s="8" t="s">
        <v>11</v>
      </c>
      <c r="H119" s="7">
        <v>14.76</v>
      </c>
      <c r="I119" s="6" t="s">
        <v>12</v>
      </c>
      <c r="J119" s="8" t="s">
        <v>13</v>
      </c>
      <c r="K119" s="7">
        <v>312</v>
      </c>
      <c r="L119" s="8" t="s">
        <v>23</v>
      </c>
      <c r="M119" s="6" t="s">
        <v>15</v>
      </c>
      <c r="N119" s="6" t="s">
        <v>61</v>
      </c>
      <c r="O119" s="9" t="s">
        <v>13</v>
      </c>
    </row>
    <row r="120" spans="1:15" x14ac:dyDescent="0.3">
      <c r="A120" s="17">
        <v>119</v>
      </c>
      <c r="B120" s="6" t="s">
        <v>192</v>
      </c>
      <c r="C120" s="6" t="s">
        <v>238</v>
      </c>
      <c r="D120" s="7">
        <v>1660</v>
      </c>
      <c r="E120" s="8" t="s">
        <v>11</v>
      </c>
      <c r="F120" s="7">
        <v>1868</v>
      </c>
      <c r="G120" s="8" t="s">
        <v>11</v>
      </c>
      <c r="H120" s="7">
        <v>2.0199999999999996</v>
      </c>
      <c r="I120" s="6" t="s">
        <v>12</v>
      </c>
      <c r="J120" s="8" t="s">
        <v>13</v>
      </c>
      <c r="K120" s="7">
        <v>82.5</v>
      </c>
      <c r="L120" s="8" t="s">
        <v>23</v>
      </c>
      <c r="M120" s="6" t="s">
        <v>15</v>
      </c>
      <c r="N120" s="6" t="s">
        <v>61</v>
      </c>
      <c r="O120" s="9" t="s">
        <v>13</v>
      </c>
    </row>
    <row r="121" spans="1:15" x14ac:dyDescent="0.3">
      <c r="A121" s="17">
        <v>120</v>
      </c>
      <c r="B121" s="6" t="s">
        <v>193</v>
      </c>
      <c r="C121" s="6" t="s">
        <v>238</v>
      </c>
      <c r="D121" s="7">
        <v>3891</v>
      </c>
      <c r="E121" s="8" t="s">
        <v>11</v>
      </c>
      <c r="F121" s="7">
        <v>3567</v>
      </c>
      <c r="G121" s="8" t="s">
        <v>11</v>
      </c>
      <c r="H121" s="7">
        <v>2.96</v>
      </c>
      <c r="I121" s="6" t="s">
        <v>12</v>
      </c>
      <c r="J121" s="8" t="s">
        <v>13</v>
      </c>
      <c r="K121" s="7">
        <v>57.6</v>
      </c>
      <c r="L121" s="8" t="s">
        <v>23</v>
      </c>
      <c r="M121" s="6" t="s">
        <v>15</v>
      </c>
      <c r="N121" s="6" t="s">
        <v>61</v>
      </c>
      <c r="O121" s="9" t="s">
        <v>13</v>
      </c>
    </row>
    <row r="122" spans="1:15" x14ac:dyDescent="0.3">
      <c r="A122" s="17">
        <v>121</v>
      </c>
      <c r="B122" s="6" t="s">
        <v>194</v>
      </c>
      <c r="C122" s="6" t="s">
        <v>238</v>
      </c>
      <c r="D122" s="7">
        <v>5602</v>
      </c>
      <c r="E122" s="8" t="s">
        <v>11</v>
      </c>
      <c r="F122" s="7">
        <v>6069</v>
      </c>
      <c r="G122" s="8" t="s">
        <v>11</v>
      </c>
      <c r="H122" s="7">
        <v>2.96</v>
      </c>
      <c r="I122" s="6" t="s">
        <v>12</v>
      </c>
      <c r="J122" s="8" t="s">
        <v>13</v>
      </c>
      <c r="K122" s="7">
        <v>50</v>
      </c>
      <c r="L122" s="8" t="s">
        <v>23</v>
      </c>
      <c r="M122" s="6" t="s">
        <v>15</v>
      </c>
      <c r="N122" s="6" t="s">
        <v>61</v>
      </c>
      <c r="O122" s="9" t="s">
        <v>13</v>
      </c>
    </row>
    <row r="123" spans="1:15" x14ac:dyDescent="0.3">
      <c r="A123" s="17">
        <v>122</v>
      </c>
      <c r="B123" s="6" t="s">
        <v>195</v>
      </c>
      <c r="C123" s="6" t="s">
        <v>238</v>
      </c>
      <c r="D123" s="7">
        <v>10167</v>
      </c>
      <c r="E123" s="8" t="s">
        <v>11</v>
      </c>
      <c r="F123" s="7">
        <v>9405</v>
      </c>
      <c r="G123" s="8" t="s">
        <v>11</v>
      </c>
      <c r="H123" s="7">
        <v>5.37</v>
      </c>
      <c r="I123" s="6" t="s">
        <v>12</v>
      </c>
      <c r="J123" s="8" t="s">
        <v>13</v>
      </c>
      <c r="K123" s="7">
        <v>41</v>
      </c>
      <c r="L123" s="8" t="s">
        <v>23</v>
      </c>
      <c r="M123" s="6" t="s">
        <v>15</v>
      </c>
      <c r="N123" s="6" t="s">
        <v>61</v>
      </c>
      <c r="O123" s="9" t="s">
        <v>13</v>
      </c>
    </row>
    <row r="124" spans="1:15" x14ac:dyDescent="0.3">
      <c r="A124" s="17">
        <v>123</v>
      </c>
      <c r="B124" s="6" t="s">
        <v>196</v>
      </c>
      <c r="C124" s="6" t="s">
        <v>238</v>
      </c>
      <c r="D124" s="7">
        <v>14939</v>
      </c>
      <c r="E124" s="8" t="s">
        <v>11</v>
      </c>
      <c r="F124" s="7">
        <v>13944</v>
      </c>
      <c r="G124" s="8" t="s">
        <v>11</v>
      </c>
      <c r="H124" s="7">
        <v>5.37</v>
      </c>
      <c r="I124" s="6" t="s">
        <v>12</v>
      </c>
      <c r="J124" s="8" t="s">
        <v>13</v>
      </c>
      <c r="K124" s="7">
        <v>33.5</v>
      </c>
      <c r="L124" s="8" t="s">
        <v>23</v>
      </c>
      <c r="M124" s="6" t="s">
        <v>15</v>
      </c>
      <c r="N124" s="6" t="s">
        <v>61</v>
      </c>
      <c r="O124" s="9" t="s">
        <v>13</v>
      </c>
    </row>
    <row r="125" spans="1:15" x14ac:dyDescent="0.3">
      <c r="A125" s="17">
        <v>124</v>
      </c>
      <c r="B125" s="6" t="s">
        <v>197</v>
      </c>
      <c r="C125" s="6" t="s">
        <v>238</v>
      </c>
      <c r="D125" s="7">
        <v>21008</v>
      </c>
      <c r="E125" s="8" t="s">
        <v>11</v>
      </c>
      <c r="F125" s="7">
        <v>19747</v>
      </c>
      <c r="G125" s="8" t="s">
        <v>11</v>
      </c>
      <c r="H125" s="7">
        <v>7.38</v>
      </c>
      <c r="I125" s="6" t="s">
        <v>12</v>
      </c>
      <c r="J125" s="8" t="s">
        <v>13</v>
      </c>
      <c r="K125" s="7">
        <v>33.5</v>
      </c>
      <c r="L125" s="8" t="s">
        <v>23</v>
      </c>
      <c r="M125" s="6" t="s">
        <v>15</v>
      </c>
      <c r="N125" s="6" t="s">
        <v>61</v>
      </c>
      <c r="O125" s="9" t="s">
        <v>13</v>
      </c>
    </row>
    <row r="126" spans="1:15" x14ac:dyDescent="0.3">
      <c r="A126" s="17">
        <v>125</v>
      </c>
      <c r="B126" s="6" t="s">
        <v>198</v>
      </c>
      <c r="C126" s="6" t="s">
        <v>238</v>
      </c>
      <c r="D126" s="7">
        <v>29048</v>
      </c>
      <c r="E126" s="8" t="s">
        <v>11</v>
      </c>
      <c r="F126" s="7">
        <v>26972</v>
      </c>
      <c r="G126" s="8" t="s">
        <v>11</v>
      </c>
      <c r="H126" s="7">
        <v>7.38</v>
      </c>
      <c r="I126" s="6" t="s">
        <v>12</v>
      </c>
      <c r="J126" s="8" t="s">
        <v>13</v>
      </c>
      <c r="K126" s="7">
        <v>30.6</v>
      </c>
      <c r="L126" s="8" t="s">
        <v>23</v>
      </c>
      <c r="M126" s="6" t="s">
        <v>15</v>
      </c>
      <c r="N126" s="6" t="s">
        <v>61</v>
      </c>
      <c r="O126" s="9" t="s">
        <v>13</v>
      </c>
    </row>
    <row r="127" spans="1:15" x14ac:dyDescent="0.3">
      <c r="A127" s="17">
        <v>126</v>
      </c>
      <c r="B127" s="6" t="s">
        <v>199</v>
      </c>
      <c r="C127" s="6" t="s">
        <v>238</v>
      </c>
      <c r="D127" s="7">
        <v>37658</v>
      </c>
      <c r="E127" s="8" t="s">
        <v>11</v>
      </c>
      <c r="F127" s="7">
        <v>35769</v>
      </c>
      <c r="G127" s="8" t="s">
        <v>11</v>
      </c>
      <c r="H127" s="7">
        <v>10.06</v>
      </c>
      <c r="I127" s="6" t="s">
        <v>12</v>
      </c>
      <c r="J127" s="8" t="s">
        <v>13</v>
      </c>
      <c r="K127" s="7">
        <v>24.4</v>
      </c>
      <c r="L127" s="8" t="s">
        <v>23</v>
      </c>
      <c r="M127" s="6" t="s">
        <v>15</v>
      </c>
      <c r="N127" s="6" t="s">
        <v>61</v>
      </c>
      <c r="O127" s="9" t="s">
        <v>13</v>
      </c>
    </row>
    <row r="128" spans="1:15" x14ac:dyDescent="0.3">
      <c r="A128" s="17">
        <v>127</v>
      </c>
      <c r="B128" s="6" t="s">
        <v>200</v>
      </c>
      <c r="C128" s="6" t="s">
        <v>238</v>
      </c>
      <c r="D128" s="7" t="s">
        <v>13</v>
      </c>
      <c r="E128" s="8" t="s">
        <v>20</v>
      </c>
      <c r="F128" s="7">
        <v>100</v>
      </c>
      <c r="G128" s="8" t="s">
        <v>11</v>
      </c>
      <c r="H128" s="7">
        <v>2</v>
      </c>
      <c r="I128" s="6" t="s">
        <v>12</v>
      </c>
      <c r="J128" s="8" t="s">
        <v>13</v>
      </c>
      <c r="K128" s="7" t="s">
        <v>60</v>
      </c>
      <c r="L128" s="8" t="s">
        <v>23</v>
      </c>
      <c r="M128" s="6" t="s">
        <v>15</v>
      </c>
      <c r="N128" s="6" t="s">
        <v>201</v>
      </c>
      <c r="O128" s="9" t="s">
        <v>13</v>
      </c>
    </row>
    <row r="129" spans="1:15" x14ac:dyDescent="0.3">
      <c r="A129" s="17">
        <v>128</v>
      </c>
      <c r="B129" s="6" t="s">
        <v>202</v>
      </c>
      <c r="C129" s="6" t="s">
        <v>238</v>
      </c>
      <c r="D129" s="7">
        <v>1050</v>
      </c>
      <c r="E129" s="8" t="s">
        <v>11</v>
      </c>
      <c r="F129" s="7">
        <v>1000</v>
      </c>
      <c r="G129" s="8" t="s">
        <v>11</v>
      </c>
      <c r="H129" s="7">
        <v>7.5</v>
      </c>
      <c r="I129" s="6" t="s">
        <v>12</v>
      </c>
      <c r="J129" s="8" t="s">
        <v>13</v>
      </c>
      <c r="K129" s="7" t="s">
        <v>203</v>
      </c>
      <c r="L129" s="8" t="s">
        <v>23</v>
      </c>
      <c r="M129" s="6" t="s">
        <v>15</v>
      </c>
      <c r="N129" s="6" t="s">
        <v>201</v>
      </c>
      <c r="O129" s="9" t="s">
        <v>204</v>
      </c>
    </row>
    <row r="130" spans="1:15" x14ac:dyDescent="0.3">
      <c r="A130" s="17">
        <v>129</v>
      </c>
      <c r="B130" s="6" t="s">
        <v>205</v>
      </c>
      <c r="C130" s="6" t="s">
        <v>238</v>
      </c>
      <c r="D130" s="7">
        <v>500</v>
      </c>
      <c r="E130" s="8" t="s">
        <v>11</v>
      </c>
      <c r="F130" s="7">
        <v>475.44</v>
      </c>
      <c r="G130" s="8" t="s">
        <v>11</v>
      </c>
      <c r="H130" s="7">
        <v>5</v>
      </c>
      <c r="I130" s="6" t="s">
        <v>12</v>
      </c>
      <c r="J130" s="8" t="s">
        <v>13</v>
      </c>
      <c r="K130" s="7" t="s">
        <v>60</v>
      </c>
      <c r="L130" s="8" t="s">
        <v>23</v>
      </c>
      <c r="M130" s="6" t="s">
        <v>15</v>
      </c>
      <c r="N130" s="6" t="s">
        <v>201</v>
      </c>
      <c r="O130" s="9" t="s">
        <v>13</v>
      </c>
    </row>
    <row r="131" spans="1:15" x14ac:dyDescent="0.3">
      <c r="A131" s="17">
        <v>130</v>
      </c>
      <c r="B131" s="6" t="s">
        <v>206</v>
      </c>
      <c r="C131" s="6" t="s">
        <v>238</v>
      </c>
      <c r="D131" s="7" t="s">
        <v>13</v>
      </c>
      <c r="E131" s="8" t="s">
        <v>20</v>
      </c>
      <c r="F131" s="7">
        <v>132</v>
      </c>
      <c r="G131" s="8" t="s">
        <v>11</v>
      </c>
      <c r="H131" s="7">
        <v>2.0199999999999996</v>
      </c>
      <c r="I131" s="6" t="s">
        <v>12</v>
      </c>
      <c r="J131" s="8" t="s">
        <v>13</v>
      </c>
      <c r="K131" s="7" t="s">
        <v>207</v>
      </c>
      <c r="L131" s="8" t="s">
        <v>23</v>
      </c>
      <c r="M131" s="6" t="s">
        <v>15</v>
      </c>
      <c r="N131" s="6" t="s">
        <v>201</v>
      </c>
      <c r="O131" s="9" t="s">
        <v>65</v>
      </c>
    </row>
    <row r="132" spans="1:15" x14ac:dyDescent="0.3">
      <c r="A132" s="17">
        <v>131</v>
      </c>
      <c r="B132" s="6" t="s">
        <v>208</v>
      </c>
      <c r="C132" s="6" t="s">
        <v>238</v>
      </c>
      <c r="D132" s="7" t="s">
        <v>13</v>
      </c>
      <c r="E132" s="8" t="s">
        <v>20</v>
      </c>
      <c r="F132" s="7">
        <v>264.18</v>
      </c>
      <c r="G132" s="8" t="s">
        <v>11</v>
      </c>
      <c r="H132" s="7">
        <v>7.5</v>
      </c>
      <c r="I132" s="6" t="s">
        <v>12</v>
      </c>
      <c r="J132" s="8" t="s">
        <v>13</v>
      </c>
      <c r="K132" s="7" t="s">
        <v>209</v>
      </c>
      <c r="L132" s="8" t="s">
        <v>23</v>
      </c>
      <c r="M132" s="6" t="s">
        <v>15</v>
      </c>
      <c r="N132" s="6" t="s">
        <v>201</v>
      </c>
      <c r="O132" s="9" t="s">
        <v>13</v>
      </c>
    </row>
    <row r="133" spans="1:15" x14ac:dyDescent="0.3">
      <c r="A133" s="17">
        <v>132</v>
      </c>
      <c r="B133" s="6" t="s">
        <v>210</v>
      </c>
      <c r="C133" s="6" t="s">
        <v>238</v>
      </c>
      <c r="D133" s="7" t="s">
        <v>13</v>
      </c>
      <c r="E133" s="8" t="s">
        <v>20</v>
      </c>
      <c r="F133" s="7">
        <v>26.42</v>
      </c>
      <c r="G133" s="8" t="s">
        <v>11</v>
      </c>
      <c r="H133" s="7">
        <v>0.5</v>
      </c>
      <c r="I133" s="6" t="s">
        <v>12</v>
      </c>
      <c r="J133" s="8" t="s">
        <v>13</v>
      </c>
      <c r="K133" s="7" t="s">
        <v>211</v>
      </c>
      <c r="L133" s="8" t="s">
        <v>23</v>
      </c>
      <c r="M133" s="6" t="s">
        <v>15</v>
      </c>
      <c r="N133" s="6" t="s">
        <v>201</v>
      </c>
      <c r="O133" s="9" t="s">
        <v>13</v>
      </c>
    </row>
    <row r="134" spans="1:15" x14ac:dyDescent="0.3">
      <c r="A134" s="17">
        <v>133</v>
      </c>
      <c r="B134" s="6" t="s">
        <v>210</v>
      </c>
      <c r="C134" s="6" t="s">
        <v>238</v>
      </c>
      <c r="D134" s="7" t="s">
        <v>13</v>
      </c>
      <c r="E134" s="8" t="s">
        <v>20</v>
      </c>
      <c r="F134" s="7">
        <v>66.050000000000011</v>
      </c>
      <c r="G134" s="8" t="s">
        <v>11</v>
      </c>
      <c r="H134" s="7">
        <v>1.01</v>
      </c>
      <c r="I134" s="6" t="s">
        <v>12</v>
      </c>
      <c r="J134" s="8" t="s">
        <v>13</v>
      </c>
      <c r="K134" s="7" t="s">
        <v>211</v>
      </c>
      <c r="L134" s="8" t="s">
        <v>23</v>
      </c>
      <c r="M134" s="6" t="s">
        <v>15</v>
      </c>
      <c r="N134" s="6" t="s">
        <v>201</v>
      </c>
      <c r="O134" s="9" t="s">
        <v>13</v>
      </c>
    </row>
    <row r="135" spans="1:15" x14ac:dyDescent="0.3">
      <c r="A135" s="17">
        <v>134</v>
      </c>
      <c r="B135" s="6" t="s">
        <v>210</v>
      </c>
      <c r="C135" s="6" t="s">
        <v>238</v>
      </c>
      <c r="D135" s="7" t="s">
        <v>13</v>
      </c>
      <c r="E135" s="8" t="s">
        <v>20</v>
      </c>
      <c r="F135" s="7">
        <v>132.09</v>
      </c>
      <c r="G135" s="8" t="s">
        <v>11</v>
      </c>
      <c r="H135" s="7">
        <v>1.48</v>
      </c>
      <c r="I135" s="6" t="s">
        <v>12</v>
      </c>
      <c r="J135" s="8" t="s">
        <v>13</v>
      </c>
      <c r="K135" s="7" t="s">
        <v>211</v>
      </c>
      <c r="L135" s="8" t="s">
        <v>23</v>
      </c>
      <c r="M135" s="6" t="s">
        <v>15</v>
      </c>
      <c r="N135" s="6" t="s">
        <v>201</v>
      </c>
      <c r="O135" s="9" t="s">
        <v>13</v>
      </c>
    </row>
    <row r="136" spans="1:15" x14ac:dyDescent="0.3">
      <c r="A136" s="17">
        <v>135</v>
      </c>
      <c r="B136" s="6" t="s">
        <v>210</v>
      </c>
      <c r="C136" s="6" t="s">
        <v>238</v>
      </c>
      <c r="D136" s="7" t="s">
        <v>13</v>
      </c>
      <c r="E136" s="8" t="s">
        <v>20</v>
      </c>
      <c r="F136" s="7">
        <v>264.18</v>
      </c>
      <c r="G136" s="8" t="s">
        <v>11</v>
      </c>
      <c r="H136" s="7">
        <v>2.0199999999999996</v>
      </c>
      <c r="I136" s="6" t="s">
        <v>12</v>
      </c>
      <c r="J136" s="8" t="s">
        <v>13</v>
      </c>
      <c r="K136" s="7" t="s">
        <v>211</v>
      </c>
      <c r="L136" s="8" t="s">
        <v>23</v>
      </c>
      <c r="M136" s="6" t="s">
        <v>15</v>
      </c>
      <c r="N136" s="6" t="s">
        <v>201</v>
      </c>
      <c r="O136" s="9" t="s">
        <v>13</v>
      </c>
    </row>
    <row r="137" spans="1:15" x14ac:dyDescent="0.3">
      <c r="A137" s="17">
        <v>136</v>
      </c>
      <c r="B137" s="6" t="s">
        <v>210</v>
      </c>
      <c r="C137" s="6" t="s">
        <v>238</v>
      </c>
      <c r="D137" s="7" t="s">
        <v>13</v>
      </c>
      <c r="E137" s="8" t="s">
        <v>20</v>
      </c>
      <c r="F137" s="7">
        <v>396.26</v>
      </c>
      <c r="G137" s="8" t="s">
        <v>11</v>
      </c>
      <c r="H137" s="7">
        <v>2.96</v>
      </c>
      <c r="I137" s="6" t="s">
        <v>12</v>
      </c>
      <c r="J137" s="8" t="s">
        <v>13</v>
      </c>
      <c r="K137" s="7" t="s">
        <v>211</v>
      </c>
      <c r="L137" s="8" t="s">
        <v>23</v>
      </c>
      <c r="M137" s="6" t="s">
        <v>15</v>
      </c>
      <c r="N137" s="6" t="s">
        <v>201</v>
      </c>
      <c r="O137" s="9" t="s">
        <v>13</v>
      </c>
    </row>
    <row r="138" spans="1:15" x14ac:dyDescent="0.3">
      <c r="A138" s="17">
        <v>137</v>
      </c>
      <c r="B138" s="6" t="s">
        <v>210</v>
      </c>
      <c r="C138" s="6" t="s">
        <v>238</v>
      </c>
      <c r="D138" s="7" t="s">
        <v>13</v>
      </c>
      <c r="E138" s="8" t="s">
        <v>20</v>
      </c>
      <c r="F138" s="7">
        <v>528.35</v>
      </c>
      <c r="G138" s="8" t="s">
        <v>11</v>
      </c>
      <c r="H138" s="7">
        <v>4.0299999999999994</v>
      </c>
      <c r="I138" s="6" t="s">
        <v>12</v>
      </c>
      <c r="J138" s="8" t="s">
        <v>13</v>
      </c>
      <c r="K138" s="7" t="s">
        <v>211</v>
      </c>
      <c r="L138" s="8" t="s">
        <v>23</v>
      </c>
      <c r="M138" s="6" t="s">
        <v>15</v>
      </c>
      <c r="N138" s="6" t="s">
        <v>201</v>
      </c>
      <c r="O138" s="9" t="s">
        <v>13</v>
      </c>
    </row>
    <row r="139" spans="1:15" x14ac:dyDescent="0.3">
      <c r="A139" s="17">
        <v>138</v>
      </c>
      <c r="B139" s="6" t="s">
        <v>210</v>
      </c>
      <c r="C139" s="6" t="s">
        <v>238</v>
      </c>
      <c r="D139" s="7" t="s">
        <v>13</v>
      </c>
      <c r="E139" s="8" t="s">
        <v>20</v>
      </c>
      <c r="F139" s="7">
        <v>660.43999999999994</v>
      </c>
      <c r="G139" s="8" t="s">
        <v>11</v>
      </c>
      <c r="H139" s="7">
        <v>5.37</v>
      </c>
      <c r="I139" s="6" t="s">
        <v>12</v>
      </c>
      <c r="J139" s="8" t="s">
        <v>13</v>
      </c>
      <c r="K139" s="7" t="s">
        <v>211</v>
      </c>
      <c r="L139" s="8" t="s">
        <v>23</v>
      </c>
      <c r="M139" s="6" t="s">
        <v>15</v>
      </c>
      <c r="N139" s="6" t="s">
        <v>201</v>
      </c>
      <c r="O139" s="9" t="s">
        <v>13</v>
      </c>
    </row>
    <row r="140" spans="1:15" x14ac:dyDescent="0.3">
      <c r="A140" s="17">
        <v>139</v>
      </c>
      <c r="B140" s="6" t="s">
        <v>212</v>
      </c>
      <c r="C140" s="6" t="s">
        <v>238</v>
      </c>
      <c r="D140" s="7" t="s">
        <v>13</v>
      </c>
      <c r="E140" s="8" t="s">
        <v>20</v>
      </c>
      <c r="F140" s="7">
        <v>26.42</v>
      </c>
      <c r="G140" s="8" t="s">
        <v>11</v>
      </c>
      <c r="H140" s="7">
        <v>2.0199999999999996</v>
      </c>
      <c r="I140" s="6" t="s">
        <v>12</v>
      </c>
      <c r="J140" s="8" t="s">
        <v>13</v>
      </c>
      <c r="K140" s="7" t="s">
        <v>213</v>
      </c>
      <c r="L140" s="8" t="s">
        <v>23</v>
      </c>
      <c r="M140" s="6" t="s">
        <v>15</v>
      </c>
      <c r="N140" s="6" t="s">
        <v>201</v>
      </c>
      <c r="O140" s="9" t="s">
        <v>13</v>
      </c>
    </row>
    <row r="141" spans="1:15" x14ac:dyDescent="0.3">
      <c r="A141" s="17">
        <v>140</v>
      </c>
      <c r="B141" s="6" t="s">
        <v>212</v>
      </c>
      <c r="C141" s="6" t="s">
        <v>238</v>
      </c>
      <c r="D141" s="7" t="s">
        <v>13</v>
      </c>
      <c r="E141" s="8" t="s">
        <v>20</v>
      </c>
      <c r="F141" s="7">
        <v>52.839999999999996</v>
      </c>
      <c r="G141" s="8" t="s">
        <v>11</v>
      </c>
      <c r="H141" s="7">
        <v>2.0199999999999996</v>
      </c>
      <c r="I141" s="6" t="s">
        <v>12</v>
      </c>
      <c r="J141" s="8" t="s">
        <v>13</v>
      </c>
      <c r="K141" s="7" t="s">
        <v>213</v>
      </c>
      <c r="L141" s="8" t="s">
        <v>23</v>
      </c>
      <c r="M141" s="6" t="s">
        <v>15</v>
      </c>
      <c r="N141" s="6" t="s">
        <v>201</v>
      </c>
      <c r="O141" s="9" t="s">
        <v>13</v>
      </c>
    </row>
    <row r="142" spans="1:15" x14ac:dyDescent="0.3">
      <c r="A142" s="17">
        <v>141</v>
      </c>
      <c r="B142" s="6" t="s">
        <v>212</v>
      </c>
      <c r="C142" s="6" t="s">
        <v>238</v>
      </c>
      <c r="D142" s="7" t="s">
        <v>13</v>
      </c>
      <c r="E142" s="8" t="s">
        <v>20</v>
      </c>
      <c r="F142" s="7">
        <v>79.260000000000005</v>
      </c>
      <c r="G142" s="8" t="s">
        <v>11</v>
      </c>
      <c r="H142" s="7">
        <v>2.96</v>
      </c>
      <c r="I142" s="6" t="s">
        <v>12</v>
      </c>
      <c r="J142" s="8" t="s">
        <v>13</v>
      </c>
      <c r="K142" s="7" t="s">
        <v>213</v>
      </c>
      <c r="L142" s="8" t="s">
        <v>23</v>
      </c>
      <c r="M142" s="6" t="s">
        <v>15</v>
      </c>
      <c r="N142" s="6" t="s">
        <v>201</v>
      </c>
      <c r="O142" s="9" t="s">
        <v>13</v>
      </c>
    </row>
    <row r="143" spans="1:15" x14ac:dyDescent="0.3">
      <c r="A143" s="17">
        <v>142</v>
      </c>
      <c r="B143" s="6" t="s">
        <v>212</v>
      </c>
      <c r="C143" s="6" t="s">
        <v>238</v>
      </c>
      <c r="D143" s="7" t="s">
        <v>13</v>
      </c>
      <c r="E143" s="8" t="s">
        <v>20</v>
      </c>
      <c r="F143" s="7">
        <v>132.09</v>
      </c>
      <c r="G143" s="8" t="s">
        <v>11</v>
      </c>
      <c r="H143" s="7">
        <v>5.37</v>
      </c>
      <c r="I143" s="6" t="s">
        <v>12</v>
      </c>
      <c r="J143" s="8" t="s">
        <v>13</v>
      </c>
      <c r="K143" s="7" t="s">
        <v>213</v>
      </c>
      <c r="L143" s="8" t="s">
        <v>23</v>
      </c>
      <c r="M143" s="6" t="s">
        <v>15</v>
      </c>
      <c r="N143" s="6" t="s">
        <v>201</v>
      </c>
      <c r="O143" s="9" t="s">
        <v>13</v>
      </c>
    </row>
    <row r="144" spans="1:15" x14ac:dyDescent="0.3">
      <c r="A144" s="17">
        <v>143</v>
      </c>
      <c r="B144" s="6" t="s">
        <v>212</v>
      </c>
      <c r="C144" s="6" t="s">
        <v>238</v>
      </c>
      <c r="D144" s="7" t="s">
        <v>13</v>
      </c>
      <c r="E144" s="8" t="s">
        <v>20</v>
      </c>
      <c r="F144" s="7">
        <v>264.18</v>
      </c>
      <c r="G144" s="8" t="s">
        <v>11</v>
      </c>
      <c r="H144" s="7">
        <v>7.38</v>
      </c>
      <c r="I144" s="6" t="s">
        <v>12</v>
      </c>
      <c r="J144" s="8" t="s">
        <v>13</v>
      </c>
      <c r="K144" s="7" t="s">
        <v>213</v>
      </c>
      <c r="L144" s="8" t="s">
        <v>23</v>
      </c>
      <c r="M144" s="6" t="s">
        <v>15</v>
      </c>
      <c r="N144" s="6" t="s">
        <v>201</v>
      </c>
      <c r="O144" s="9" t="s">
        <v>13</v>
      </c>
    </row>
    <row r="145" spans="1:15" x14ac:dyDescent="0.3">
      <c r="A145" s="17">
        <v>144</v>
      </c>
      <c r="B145" s="6" t="s">
        <v>212</v>
      </c>
      <c r="C145" s="6" t="s">
        <v>238</v>
      </c>
      <c r="D145" s="7" t="s">
        <v>13</v>
      </c>
      <c r="E145" s="8" t="s">
        <v>20</v>
      </c>
      <c r="F145" s="7">
        <v>528.35</v>
      </c>
      <c r="G145" s="8" t="s">
        <v>11</v>
      </c>
      <c r="H145" s="7">
        <v>10.06</v>
      </c>
      <c r="I145" s="6" t="s">
        <v>12</v>
      </c>
      <c r="J145" s="8" t="s">
        <v>13</v>
      </c>
      <c r="K145" s="7" t="s">
        <v>214</v>
      </c>
      <c r="L145" s="8" t="s">
        <v>23</v>
      </c>
      <c r="M145" s="6" t="s">
        <v>15</v>
      </c>
      <c r="N145" s="6" t="s">
        <v>201</v>
      </c>
      <c r="O145" s="9" t="s">
        <v>13</v>
      </c>
    </row>
    <row r="146" spans="1:15" x14ac:dyDescent="0.3">
      <c r="A146" s="17">
        <v>145</v>
      </c>
      <c r="B146" s="6" t="s">
        <v>212</v>
      </c>
      <c r="C146" s="6" t="s">
        <v>238</v>
      </c>
      <c r="D146" s="7" t="s">
        <v>13</v>
      </c>
      <c r="E146" s="8" t="s">
        <v>20</v>
      </c>
      <c r="F146" s="7">
        <v>792.52</v>
      </c>
      <c r="G146" s="8" t="s">
        <v>11</v>
      </c>
      <c r="H146" s="7">
        <v>14.76</v>
      </c>
      <c r="I146" s="6" t="s">
        <v>12</v>
      </c>
      <c r="J146" s="8" t="s">
        <v>13</v>
      </c>
      <c r="K146" s="7" t="s">
        <v>214</v>
      </c>
      <c r="L146" s="8" t="s">
        <v>23</v>
      </c>
      <c r="M146" s="6" t="s">
        <v>15</v>
      </c>
      <c r="N146" s="6" t="s">
        <v>201</v>
      </c>
      <c r="O146" s="9" t="s">
        <v>13</v>
      </c>
    </row>
    <row r="147" spans="1:15" x14ac:dyDescent="0.3">
      <c r="A147" s="17">
        <v>146</v>
      </c>
      <c r="B147" s="6" t="s">
        <v>212</v>
      </c>
      <c r="C147" s="6" t="s">
        <v>238</v>
      </c>
      <c r="D147" s="7" t="s">
        <v>13</v>
      </c>
      <c r="E147" s="8" t="s">
        <v>20</v>
      </c>
      <c r="F147" s="7">
        <v>1320.87</v>
      </c>
      <c r="G147" s="8" t="s">
        <v>11</v>
      </c>
      <c r="H147" s="7">
        <v>24.810000000000002</v>
      </c>
      <c r="I147" s="6" t="s">
        <v>12</v>
      </c>
      <c r="J147" s="8" t="s">
        <v>13</v>
      </c>
      <c r="K147" s="7" t="s">
        <v>215</v>
      </c>
      <c r="L147" s="8" t="s">
        <v>23</v>
      </c>
      <c r="M147" s="6" t="s">
        <v>15</v>
      </c>
      <c r="N147" s="6" t="s">
        <v>201</v>
      </c>
      <c r="O147" s="9" t="s">
        <v>13</v>
      </c>
    </row>
    <row r="148" spans="1:15" x14ac:dyDescent="0.3">
      <c r="A148" s="17">
        <v>147</v>
      </c>
      <c r="B148" s="6" t="s">
        <v>216</v>
      </c>
      <c r="C148" s="6" t="s">
        <v>238</v>
      </c>
      <c r="D148" s="7" t="s">
        <v>13</v>
      </c>
      <c r="E148" s="8" t="s">
        <v>20</v>
      </c>
      <c r="F148" s="7">
        <v>0.53</v>
      </c>
      <c r="G148" s="8" t="s">
        <v>11</v>
      </c>
      <c r="H148" s="7">
        <v>6.0000000000000005E-2</v>
      </c>
      <c r="I148" s="6" t="s">
        <v>12</v>
      </c>
      <c r="J148" s="8" t="s">
        <v>13</v>
      </c>
      <c r="K148" s="7" t="s">
        <v>217</v>
      </c>
      <c r="L148" s="8" t="s">
        <v>23</v>
      </c>
      <c r="M148" s="6" t="s">
        <v>15</v>
      </c>
      <c r="N148" s="6" t="s">
        <v>218</v>
      </c>
      <c r="O148" s="9" t="s">
        <v>65</v>
      </c>
    </row>
    <row r="149" spans="1:15" x14ac:dyDescent="0.3">
      <c r="A149" s="17">
        <v>148</v>
      </c>
      <c r="B149" s="6" t="s">
        <v>219</v>
      </c>
      <c r="C149" s="6" t="s">
        <v>238</v>
      </c>
      <c r="D149" s="7" t="s">
        <v>13</v>
      </c>
      <c r="E149" s="8" t="s">
        <v>20</v>
      </c>
      <c r="F149" s="7">
        <v>1.33</v>
      </c>
      <c r="G149" s="8" t="s">
        <v>11</v>
      </c>
      <c r="H149" s="7">
        <v>0.13</v>
      </c>
      <c r="I149" s="6" t="s">
        <v>12</v>
      </c>
      <c r="J149" s="8" t="s">
        <v>13</v>
      </c>
      <c r="K149" s="7" t="s">
        <v>217</v>
      </c>
      <c r="L149" s="8" t="s">
        <v>23</v>
      </c>
      <c r="M149" s="6" t="s">
        <v>15</v>
      </c>
      <c r="N149" s="6" t="s">
        <v>218</v>
      </c>
      <c r="O149" s="9" t="s">
        <v>65</v>
      </c>
    </row>
    <row r="150" spans="1:15" x14ac:dyDescent="0.3">
      <c r="A150" s="17">
        <v>149</v>
      </c>
      <c r="B150" s="6" t="s">
        <v>220</v>
      </c>
      <c r="C150" s="6" t="s">
        <v>238</v>
      </c>
      <c r="D150" s="7" t="s">
        <v>13</v>
      </c>
      <c r="E150" s="8" t="s">
        <v>20</v>
      </c>
      <c r="F150" s="7">
        <v>2.65</v>
      </c>
      <c r="G150" s="8" t="s">
        <v>11</v>
      </c>
      <c r="H150" s="7">
        <v>0.17</v>
      </c>
      <c r="I150" s="6" t="s">
        <v>12</v>
      </c>
      <c r="J150" s="8" t="s">
        <v>13</v>
      </c>
      <c r="K150" s="7" t="s">
        <v>221</v>
      </c>
      <c r="L150" s="8" t="s">
        <v>23</v>
      </c>
      <c r="M150" s="6" t="s">
        <v>15</v>
      </c>
      <c r="N150" s="6" t="s">
        <v>218</v>
      </c>
      <c r="O150" s="9" t="s">
        <v>65</v>
      </c>
    </row>
    <row r="151" spans="1:15" x14ac:dyDescent="0.3">
      <c r="A151" s="17">
        <v>150</v>
      </c>
      <c r="B151" s="6" t="s">
        <v>222</v>
      </c>
      <c r="C151" s="6" t="s">
        <v>238</v>
      </c>
      <c r="D151" s="7" t="s">
        <v>13</v>
      </c>
      <c r="E151" s="8" t="s">
        <v>20</v>
      </c>
      <c r="F151" s="7">
        <v>5.29</v>
      </c>
      <c r="G151" s="8" t="s">
        <v>11</v>
      </c>
      <c r="H151" s="7">
        <v>0.17</v>
      </c>
      <c r="I151" s="6" t="s">
        <v>12</v>
      </c>
      <c r="J151" s="8" t="s">
        <v>13</v>
      </c>
      <c r="K151" s="7" t="s">
        <v>221</v>
      </c>
      <c r="L151" s="8" t="s">
        <v>23</v>
      </c>
      <c r="M151" s="6" t="s">
        <v>15</v>
      </c>
      <c r="N151" s="6" t="s">
        <v>218</v>
      </c>
      <c r="O151" s="9" t="s">
        <v>65</v>
      </c>
    </row>
    <row r="152" spans="1:15" x14ac:dyDescent="0.3">
      <c r="A152" s="17">
        <v>151</v>
      </c>
      <c r="B152" s="6" t="s">
        <v>223</v>
      </c>
      <c r="C152" s="6" t="s">
        <v>238</v>
      </c>
      <c r="D152" s="7" t="s">
        <v>13</v>
      </c>
      <c r="E152" s="8" t="s">
        <v>20</v>
      </c>
      <c r="F152" s="7">
        <v>7.93</v>
      </c>
      <c r="G152" s="8" t="s">
        <v>11</v>
      </c>
      <c r="H152" s="7">
        <v>0.17</v>
      </c>
      <c r="I152" s="6" t="s">
        <v>12</v>
      </c>
      <c r="J152" s="8" t="s">
        <v>13</v>
      </c>
      <c r="K152" s="7" t="s">
        <v>221</v>
      </c>
      <c r="L152" s="8" t="s">
        <v>23</v>
      </c>
      <c r="M152" s="6" t="s">
        <v>15</v>
      </c>
      <c r="N152" s="6" t="s">
        <v>218</v>
      </c>
      <c r="O152" s="9" t="s">
        <v>65</v>
      </c>
    </row>
    <row r="153" spans="1:15" x14ac:dyDescent="0.3">
      <c r="A153" s="17">
        <v>152</v>
      </c>
      <c r="B153" s="6" t="s">
        <v>224</v>
      </c>
      <c r="C153" s="6" t="s">
        <v>238</v>
      </c>
      <c r="D153" s="7" t="s">
        <v>13</v>
      </c>
      <c r="E153" s="8" t="s">
        <v>20</v>
      </c>
      <c r="F153" s="7">
        <v>13.209999999999999</v>
      </c>
      <c r="G153" s="8" t="s">
        <v>11</v>
      </c>
      <c r="H153" s="7">
        <v>0.25</v>
      </c>
      <c r="I153" s="6" t="s">
        <v>12</v>
      </c>
      <c r="J153" s="8" t="s">
        <v>13</v>
      </c>
      <c r="K153" s="7" t="s">
        <v>221</v>
      </c>
      <c r="L153" s="8" t="s">
        <v>23</v>
      </c>
      <c r="M153" s="6" t="s">
        <v>15</v>
      </c>
      <c r="N153" s="6" t="s">
        <v>218</v>
      </c>
      <c r="O153" s="9" t="s">
        <v>65</v>
      </c>
    </row>
    <row r="154" spans="1:15" ht="15" thickBot="1" x14ac:dyDescent="0.35">
      <c r="A154" s="18">
        <v>153</v>
      </c>
      <c r="B154" s="10" t="s">
        <v>225</v>
      </c>
      <c r="C154" s="10" t="s">
        <v>238</v>
      </c>
      <c r="D154" s="11" t="s">
        <v>13</v>
      </c>
      <c r="E154" s="12" t="s">
        <v>20</v>
      </c>
      <c r="F154" s="11">
        <v>26.42</v>
      </c>
      <c r="G154" s="12" t="s">
        <v>11</v>
      </c>
      <c r="H154" s="11">
        <v>0.34</v>
      </c>
      <c r="I154" s="10" t="s">
        <v>12</v>
      </c>
      <c r="J154" s="12" t="s">
        <v>13</v>
      </c>
      <c r="K154" s="11" t="s">
        <v>221</v>
      </c>
      <c r="L154" s="12" t="s">
        <v>23</v>
      </c>
      <c r="M154" s="10" t="s">
        <v>15</v>
      </c>
      <c r="N154" s="10" t="s">
        <v>218</v>
      </c>
      <c r="O154" s="13" t="s">
        <v>65</v>
      </c>
    </row>
    <row r="155" spans="1:15" ht="15" thickBot="1" x14ac:dyDescent="0.35"/>
    <row r="156" spans="1:15" x14ac:dyDescent="0.3">
      <c r="A156" s="14" t="s">
        <v>237</v>
      </c>
      <c r="B156" s="50" t="s">
        <v>227</v>
      </c>
      <c r="C156" s="51"/>
      <c r="D156" s="16" t="s">
        <v>236</v>
      </c>
      <c r="F156" s="4"/>
    </row>
    <row r="157" spans="1:15" x14ac:dyDescent="0.3">
      <c r="A157" s="17">
        <v>1</v>
      </c>
      <c r="B157" s="48" t="s">
        <v>228</v>
      </c>
      <c r="C157" s="49"/>
      <c r="D157" s="19" t="s">
        <v>229</v>
      </c>
    </row>
    <row r="158" spans="1:15" x14ac:dyDescent="0.3">
      <c r="A158" s="17">
        <v>2</v>
      </c>
      <c r="B158" s="48" t="s">
        <v>230</v>
      </c>
      <c r="C158" s="49"/>
      <c r="D158" s="19" t="s">
        <v>231</v>
      </c>
    </row>
    <row r="159" spans="1:15" x14ac:dyDescent="0.3">
      <c r="A159" s="17">
        <v>3</v>
      </c>
      <c r="B159" s="48" t="s">
        <v>232</v>
      </c>
      <c r="C159" s="49"/>
      <c r="D159" s="19" t="s">
        <v>233</v>
      </c>
    </row>
    <row r="160" spans="1:15" ht="15" thickBot="1" x14ac:dyDescent="0.35">
      <c r="A160" s="18">
        <v>4</v>
      </c>
      <c r="B160" s="46" t="s">
        <v>234</v>
      </c>
      <c r="C160" s="47"/>
      <c r="D160" s="20" t="s">
        <v>235</v>
      </c>
    </row>
  </sheetData>
  <mergeCells count="5">
    <mergeCell ref="B160:C160"/>
    <mergeCell ref="B159:C159"/>
    <mergeCell ref="B158:C158"/>
    <mergeCell ref="B157:C157"/>
    <mergeCell ref="B156:C156"/>
  </mergeCells>
  <hyperlinks>
    <hyperlink ref="B157" r:id="rId1" xr:uid="{840C7AD6-064F-454A-B198-F831314B75C3}"/>
    <hyperlink ref="B158" r:id="rId2" xr:uid="{4602617E-C668-4739-A040-B0B3BD475777}"/>
    <hyperlink ref="B159" r:id="rId3" xr:uid="{CE0D9DAA-3393-4CC7-A7EC-94BF5289B0BA}"/>
    <hyperlink ref="B160" r:id="rId4" xr:uid="{8771D3D7-2807-4676-89F8-D39F0DAABCA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D3CC6-FA78-48D2-9D6F-27062C154900}">
  <dimension ref="A1:T287"/>
  <sheetViews>
    <sheetView zoomScale="80" zoomScaleNormal="80" workbookViewId="0">
      <pane ySplit="1" topLeftCell="A249" activePane="bottomLeft" state="frozen"/>
      <selection pane="bottomLeft" activeCell="D1" sqref="D1"/>
    </sheetView>
  </sheetViews>
  <sheetFormatPr defaultRowHeight="14.4" x14ac:dyDescent="0.3"/>
  <cols>
    <col min="1" max="1" width="9.33203125" style="1" bestFit="1" customWidth="1"/>
    <col min="2" max="2" width="29.88671875" style="3" bestFit="1" customWidth="1"/>
    <col min="3" max="3" width="23.44140625" style="3" bestFit="1" customWidth="1"/>
    <col min="4" max="4" width="17.33203125" style="5" bestFit="1" customWidth="1"/>
    <col min="5" max="5" width="7.88671875" bestFit="1" customWidth="1"/>
    <col min="6" max="6" width="19.33203125" bestFit="1" customWidth="1"/>
    <col min="7" max="7" width="9.33203125" bestFit="1" customWidth="1"/>
    <col min="8" max="8" width="15.33203125" style="5" bestFit="1" customWidth="1"/>
    <col min="9" max="9" width="4.88671875" bestFit="1" customWidth="1"/>
    <col min="10" max="10" width="20.44140625" style="5" bestFit="1" customWidth="1"/>
    <col min="11" max="11" width="4.88671875" bestFit="1" customWidth="1"/>
    <col min="12" max="12" width="11.44140625" bestFit="1" customWidth="1"/>
    <col min="13" max="13" width="4.88671875" bestFit="1" customWidth="1"/>
    <col min="14" max="14" width="29" style="2" bestFit="1" customWidth="1"/>
    <col min="15" max="15" width="24.33203125" style="5" bestFit="1" customWidth="1"/>
    <col min="16" max="16" width="4.88671875" style="3" bestFit="1" customWidth="1"/>
    <col min="17" max="17" width="22.33203125" style="5" bestFit="1" customWidth="1"/>
    <col min="18" max="18" width="4.88671875" style="3" bestFit="1" customWidth="1"/>
    <col min="19" max="19" width="33.88671875" bestFit="1" customWidth="1"/>
    <col min="20" max="20" width="26.5546875" bestFit="1" customWidth="1"/>
  </cols>
  <sheetData>
    <row r="1" spans="1:20" s="2" customFormat="1" x14ac:dyDescent="0.3">
      <c r="A1" s="14" t="s">
        <v>236</v>
      </c>
      <c r="B1" s="15" t="s">
        <v>0</v>
      </c>
      <c r="C1" s="15" t="s">
        <v>1318</v>
      </c>
      <c r="D1" s="15" t="s">
        <v>239</v>
      </c>
      <c r="E1" s="15" t="s">
        <v>2</v>
      </c>
      <c r="F1" s="15" t="s">
        <v>240</v>
      </c>
      <c r="G1" s="15" t="s">
        <v>2</v>
      </c>
      <c r="H1" s="15" t="s">
        <v>532</v>
      </c>
      <c r="I1" s="15" t="s">
        <v>2</v>
      </c>
      <c r="J1" s="15" t="s">
        <v>533</v>
      </c>
      <c r="K1" s="15" t="s">
        <v>2</v>
      </c>
      <c r="L1" s="15" t="s">
        <v>534</v>
      </c>
      <c r="M1" s="15" t="s">
        <v>2</v>
      </c>
      <c r="N1" s="15" t="s">
        <v>5</v>
      </c>
      <c r="O1" s="15" t="s">
        <v>1283</v>
      </c>
      <c r="P1" s="15" t="s">
        <v>2</v>
      </c>
      <c r="Q1" s="15" t="s">
        <v>1284</v>
      </c>
      <c r="R1" s="15" t="s">
        <v>2</v>
      </c>
      <c r="S1" s="15" t="s">
        <v>241</v>
      </c>
      <c r="T1" s="16" t="s">
        <v>9</v>
      </c>
    </row>
    <row r="2" spans="1:20" x14ac:dyDescent="0.3">
      <c r="A2" s="17">
        <v>1</v>
      </c>
      <c r="B2" s="6" t="s">
        <v>242</v>
      </c>
      <c r="C2" s="6" t="s">
        <v>243</v>
      </c>
      <c r="D2" s="7">
        <v>2498.5</v>
      </c>
      <c r="E2" s="23" t="s">
        <v>11</v>
      </c>
      <c r="F2" s="23">
        <v>1757.93</v>
      </c>
      <c r="G2" s="23" t="s">
        <v>11</v>
      </c>
      <c r="H2" s="7" t="s">
        <v>20</v>
      </c>
      <c r="I2" s="23" t="s">
        <v>20</v>
      </c>
      <c r="J2" s="7">
        <v>40</v>
      </c>
      <c r="K2" s="23" t="s">
        <v>12</v>
      </c>
      <c r="L2" s="23">
        <v>40</v>
      </c>
      <c r="M2" s="23" t="s">
        <v>12</v>
      </c>
      <c r="N2" s="8" t="s">
        <v>13</v>
      </c>
      <c r="O2" s="7" t="s">
        <v>20</v>
      </c>
      <c r="P2" s="6" t="s">
        <v>20</v>
      </c>
      <c r="Q2" s="7">
        <v>16</v>
      </c>
      <c r="R2" s="6" t="s">
        <v>23</v>
      </c>
      <c r="S2" s="23" t="s">
        <v>52</v>
      </c>
      <c r="T2" s="24" t="s">
        <v>20</v>
      </c>
    </row>
    <row r="3" spans="1:20" x14ac:dyDescent="0.3">
      <c r="A3" s="17">
        <v>2</v>
      </c>
      <c r="B3" s="6" t="s">
        <v>244</v>
      </c>
      <c r="C3" s="6" t="s">
        <v>243</v>
      </c>
      <c r="D3" s="7" t="s">
        <v>13</v>
      </c>
      <c r="E3" s="23" t="s">
        <v>20</v>
      </c>
      <c r="F3" s="23">
        <v>2618.19</v>
      </c>
      <c r="G3" s="23" t="s">
        <v>11</v>
      </c>
      <c r="H3" s="7" t="s">
        <v>20</v>
      </c>
      <c r="I3" s="23" t="s">
        <v>20</v>
      </c>
      <c r="J3" s="7">
        <v>10</v>
      </c>
      <c r="K3" s="23" t="s">
        <v>12</v>
      </c>
      <c r="L3" s="23">
        <v>10</v>
      </c>
      <c r="M3" s="23" t="s">
        <v>12</v>
      </c>
      <c r="N3" s="8" t="s">
        <v>13</v>
      </c>
      <c r="O3" s="7" t="s">
        <v>20</v>
      </c>
      <c r="P3" s="6" t="s">
        <v>20</v>
      </c>
      <c r="Q3" s="7" t="s">
        <v>13</v>
      </c>
      <c r="R3" s="6" t="s">
        <v>23</v>
      </c>
      <c r="S3" s="23" t="s">
        <v>41</v>
      </c>
      <c r="T3" s="24" t="s">
        <v>20</v>
      </c>
    </row>
    <row r="4" spans="1:20" x14ac:dyDescent="0.3">
      <c r="A4" s="17">
        <v>3</v>
      </c>
      <c r="B4" s="6" t="s">
        <v>245</v>
      </c>
      <c r="C4" s="6" t="s">
        <v>243</v>
      </c>
      <c r="D4" s="7">
        <v>1288.6299999999999</v>
      </c>
      <c r="E4" s="23" t="s">
        <v>11</v>
      </c>
      <c r="F4" s="23">
        <v>748.06</v>
      </c>
      <c r="G4" s="23" t="s">
        <v>11</v>
      </c>
      <c r="H4" s="7">
        <v>3</v>
      </c>
      <c r="I4" s="23" t="s">
        <v>12</v>
      </c>
      <c r="J4" s="7">
        <v>7.5</v>
      </c>
      <c r="K4" s="23" t="s">
        <v>12</v>
      </c>
      <c r="L4" s="23">
        <v>10.5</v>
      </c>
      <c r="M4" s="23" t="s">
        <v>12</v>
      </c>
      <c r="N4" s="8">
        <v>0.90849999999999997</v>
      </c>
      <c r="O4" s="7" t="s">
        <v>13</v>
      </c>
      <c r="P4" s="6" t="s">
        <v>23</v>
      </c>
      <c r="Q4" s="7" t="s">
        <v>13</v>
      </c>
      <c r="R4" s="6" t="s">
        <v>23</v>
      </c>
      <c r="S4" s="23" t="s">
        <v>52</v>
      </c>
      <c r="T4" s="24" t="s">
        <v>13</v>
      </c>
    </row>
    <row r="5" spans="1:20" x14ac:dyDescent="0.3">
      <c r="A5" s="17">
        <v>4</v>
      </c>
      <c r="B5" s="6" t="s">
        <v>246</v>
      </c>
      <c r="C5" s="6" t="s">
        <v>243</v>
      </c>
      <c r="D5" s="7" t="s">
        <v>13</v>
      </c>
      <c r="E5" s="23" t="s">
        <v>20</v>
      </c>
      <c r="F5" s="23">
        <v>299.23</v>
      </c>
      <c r="G5" s="23" t="s">
        <v>11</v>
      </c>
      <c r="H5" s="7">
        <v>5</v>
      </c>
      <c r="I5" s="23" t="s">
        <v>12</v>
      </c>
      <c r="J5" s="7">
        <v>7.5</v>
      </c>
      <c r="K5" s="23" t="s">
        <v>12</v>
      </c>
      <c r="L5" s="23">
        <v>12.5</v>
      </c>
      <c r="M5" s="23" t="s">
        <v>12</v>
      </c>
      <c r="N5" s="8" t="s">
        <v>13</v>
      </c>
      <c r="O5" s="7" t="s">
        <v>13</v>
      </c>
      <c r="P5" s="6" t="s">
        <v>23</v>
      </c>
      <c r="Q5" s="7" t="s">
        <v>13</v>
      </c>
      <c r="R5" s="6" t="s">
        <v>23</v>
      </c>
      <c r="S5" s="23" t="s">
        <v>61</v>
      </c>
      <c r="T5" s="24" t="s">
        <v>247</v>
      </c>
    </row>
    <row r="6" spans="1:20" x14ac:dyDescent="0.3">
      <c r="A6" s="17">
        <v>5</v>
      </c>
      <c r="B6" s="6" t="s">
        <v>248</v>
      </c>
      <c r="C6" s="6" t="s">
        <v>249</v>
      </c>
      <c r="D6" s="7" t="s">
        <v>13</v>
      </c>
      <c r="E6" s="23" t="s">
        <v>20</v>
      </c>
      <c r="F6" s="23">
        <v>142.66</v>
      </c>
      <c r="G6" s="23" t="s">
        <v>11</v>
      </c>
      <c r="H6" s="7" t="s">
        <v>20</v>
      </c>
      <c r="I6" s="23" t="s">
        <v>20</v>
      </c>
      <c r="J6" s="7">
        <v>7.5</v>
      </c>
      <c r="K6" s="23" t="s">
        <v>12</v>
      </c>
      <c r="L6" s="23">
        <v>7.5</v>
      </c>
      <c r="M6" s="23" t="s">
        <v>12</v>
      </c>
      <c r="N6" s="8" t="s">
        <v>13</v>
      </c>
      <c r="O6" s="7" t="s">
        <v>20</v>
      </c>
      <c r="P6" s="6" t="s">
        <v>20</v>
      </c>
      <c r="Q6" s="7">
        <v>28</v>
      </c>
      <c r="R6" s="6" t="s">
        <v>23</v>
      </c>
      <c r="S6" s="23" t="s">
        <v>44</v>
      </c>
      <c r="T6" s="24" t="s">
        <v>20</v>
      </c>
    </row>
    <row r="7" spans="1:20" x14ac:dyDescent="0.3">
      <c r="A7" s="17">
        <v>6</v>
      </c>
      <c r="B7" s="6" t="s">
        <v>250</v>
      </c>
      <c r="C7" s="6" t="s">
        <v>243</v>
      </c>
      <c r="D7" s="7">
        <v>316.18</v>
      </c>
      <c r="E7" s="23" t="s">
        <v>11</v>
      </c>
      <c r="F7" s="23">
        <v>97.25</v>
      </c>
      <c r="G7" s="23" t="s">
        <v>11</v>
      </c>
      <c r="H7" s="7" t="s">
        <v>20</v>
      </c>
      <c r="I7" s="23" t="s">
        <v>20</v>
      </c>
      <c r="J7" s="7">
        <v>3</v>
      </c>
      <c r="K7" s="23" t="s">
        <v>12</v>
      </c>
      <c r="L7" s="23">
        <v>3</v>
      </c>
      <c r="M7" s="23" t="s">
        <v>12</v>
      </c>
      <c r="N7" s="8" t="s">
        <v>13</v>
      </c>
      <c r="O7" s="7" t="s">
        <v>20</v>
      </c>
      <c r="P7" s="6" t="s">
        <v>20</v>
      </c>
      <c r="Q7" s="7" t="s">
        <v>13</v>
      </c>
      <c r="R7" s="6" t="s">
        <v>23</v>
      </c>
      <c r="S7" s="23" t="s">
        <v>251</v>
      </c>
      <c r="T7" s="24" t="s">
        <v>20</v>
      </c>
    </row>
    <row r="8" spans="1:20" x14ac:dyDescent="0.3">
      <c r="A8" s="17">
        <v>7</v>
      </c>
      <c r="B8" s="6" t="s">
        <v>252</v>
      </c>
      <c r="C8" s="6" t="s">
        <v>243</v>
      </c>
      <c r="D8" s="7">
        <v>163.17999999999998</v>
      </c>
      <c r="E8" s="23" t="s">
        <v>11</v>
      </c>
      <c r="F8" s="23">
        <v>149.62</v>
      </c>
      <c r="G8" s="23" t="s">
        <v>11</v>
      </c>
      <c r="H8" s="7">
        <v>5</v>
      </c>
      <c r="I8" s="23" t="s">
        <v>12</v>
      </c>
      <c r="J8" s="7">
        <v>5</v>
      </c>
      <c r="K8" s="23" t="s">
        <v>12</v>
      </c>
      <c r="L8" s="23">
        <v>10</v>
      </c>
      <c r="M8" s="23" t="s">
        <v>12</v>
      </c>
      <c r="N8" s="8" t="s">
        <v>13</v>
      </c>
      <c r="O8" s="7" t="s">
        <v>13</v>
      </c>
      <c r="P8" s="6" t="s">
        <v>23</v>
      </c>
      <c r="Q8" s="7" t="s">
        <v>13</v>
      </c>
      <c r="R8" s="6" t="s">
        <v>23</v>
      </c>
      <c r="S8" s="23" t="s">
        <v>41</v>
      </c>
      <c r="T8" s="24" t="s">
        <v>253</v>
      </c>
    </row>
    <row r="9" spans="1:20" x14ac:dyDescent="0.3">
      <c r="A9" s="17">
        <v>8</v>
      </c>
      <c r="B9" s="6" t="s">
        <v>254</v>
      </c>
      <c r="C9" s="6" t="s">
        <v>243</v>
      </c>
      <c r="D9" s="7">
        <v>117.36</v>
      </c>
      <c r="E9" s="23" t="s">
        <v>11</v>
      </c>
      <c r="F9" s="23">
        <v>92.76</v>
      </c>
      <c r="G9" s="23" t="s">
        <v>11</v>
      </c>
      <c r="H9" s="7">
        <v>5</v>
      </c>
      <c r="I9" s="23" t="s">
        <v>12</v>
      </c>
      <c r="J9" s="7" t="s">
        <v>20</v>
      </c>
      <c r="K9" s="23" t="s">
        <v>20</v>
      </c>
      <c r="L9" s="23">
        <v>5</v>
      </c>
      <c r="M9" s="23" t="s">
        <v>12</v>
      </c>
      <c r="N9" s="8" t="s">
        <v>13</v>
      </c>
      <c r="O9" s="7" t="s">
        <v>13</v>
      </c>
      <c r="P9" s="6" t="s">
        <v>23</v>
      </c>
      <c r="Q9" s="7" t="s">
        <v>20</v>
      </c>
      <c r="R9" s="6" t="s">
        <v>20</v>
      </c>
      <c r="S9" s="23" t="s">
        <v>41</v>
      </c>
      <c r="T9" s="24" t="s">
        <v>255</v>
      </c>
    </row>
    <row r="10" spans="1:20" x14ac:dyDescent="0.3">
      <c r="A10" s="17">
        <v>9</v>
      </c>
      <c r="B10" s="6" t="s">
        <v>256</v>
      </c>
      <c r="C10" s="6" t="s">
        <v>243</v>
      </c>
      <c r="D10" s="7" t="s">
        <v>13</v>
      </c>
      <c r="E10" s="23" t="s">
        <v>20</v>
      </c>
      <c r="F10" s="23">
        <v>7.49</v>
      </c>
      <c r="G10" s="23" t="s">
        <v>11</v>
      </c>
      <c r="H10" s="7" t="s">
        <v>20</v>
      </c>
      <c r="I10" s="23" t="s">
        <v>20</v>
      </c>
      <c r="J10" s="7">
        <v>1</v>
      </c>
      <c r="K10" s="23" t="s">
        <v>12</v>
      </c>
      <c r="L10" s="23">
        <v>1</v>
      </c>
      <c r="M10" s="23" t="s">
        <v>12</v>
      </c>
      <c r="N10" s="8" t="s">
        <v>13</v>
      </c>
      <c r="O10" s="7" t="s">
        <v>20</v>
      </c>
      <c r="P10" s="6" t="s">
        <v>20</v>
      </c>
      <c r="Q10" s="7" t="s">
        <v>13</v>
      </c>
      <c r="R10" s="6" t="s">
        <v>23</v>
      </c>
      <c r="S10" s="23" t="s">
        <v>61</v>
      </c>
      <c r="T10" s="24" t="s">
        <v>20</v>
      </c>
    </row>
    <row r="11" spans="1:20" x14ac:dyDescent="0.3">
      <c r="A11" s="17">
        <v>10</v>
      </c>
      <c r="B11" s="6" t="s">
        <v>257</v>
      </c>
      <c r="C11" s="6" t="s">
        <v>258</v>
      </c>
      <c r="D11" s="7">
        <v>664.92</v>
      </c>
      <c r="E11" s="23" t="s">
        <v>11</v>
      </c>
      <c r="F11" s="23">
        <v>433.88</v>
      </c>
      <c r="G11" s="23" t="s">
        <v>11</v>
      </c>
      <c r="H11" s="7">
        <v>15</v>
      </c>
      <c r="I11" s="23" t="s">
        <v>12</v>
      </c>
      <c r="J11" s="7" t="s">
        <v>20</v>
      </c>
      <c r="K11" s="23" t="s">
        <v>20</v>
      </c>
      <c r="L11" s="23">
        <v>15</v>
      </c>
      <c r="M11" s="23" t="s">
        <v>12</v>
      </c>
      <c r="N11" s="8" t="s">
        <v>13</v>
      </c>
      <c r="O11" s="7">
        <v>28</v>
      </c>
      <c r="P11" s="6" t="s">
        <v>23</v>
      </c>
      <c r="Q11" s="7" t="s">
        <v>20</v>
      </c>
      <c r="R11" s="6" t="s">
        <v>20</v>
      </c>
      <c r="S11" s="23" t="s">
        <v>259</v>
      </c>
      <c r="T11" s="24" t="s">
        <v>260</v>
      </c>
    </row>
    <row r="12" spans="1:20" x14ac:dyDescent="0.3">
      <c r="A12" s="17">
        <v>11</v>
      </c>
      <c r="B12" s="6" t="s">
        <v>261</v>
      </c>
      <c r="C12" s="6" t="s">
        <v>258</v>
      </c>
      <c r="D12" s="7">
        <v>107.23</v>
      </c>
      <c r="E12" s="23" t="s">
        <v>11</v>
      </c>
      <c r="F12" s="23">
        <v>74.81</v>
      </c>
      <c r="G12" s="23" t="s">
        <v>11</v>
      </c>
      <c r="H12" s="7">
        <v>5</v>
      </c>
      <c r="I12" s="23" t="s">
        <v>12</v>
      </c>
      <c r="J12" s="7" t="s">
        <v>20</v>
      </c>
      <c r="K12" s="23" t="s">
        <v>20</v>
      </c>
      <c r="L12" s="23">
        <v>5</v>
      </c>
      <c r="M12" s="23" t="s">
        <v>12</v>
      </c>
      <c r="N12" s="8" t="s">
        <v>13</v>
      </c>
      <c r="O12" s="7" t="s">
        <v>13</v>
      </c>
      <c r="P12" s="6" t="s">
        <v>23</v>
      </c>
      <c r="Q12" s="7" t="s">
        <v>20</v>
      </c>
      <c r="R12" s="6" t="s">
        <v>20</v>
      </c>
      <c r="S12" s="23" t="s">
        <v>52</v>
      </c>
      <c r="T12" s="24" t="s">
        <v>260</v>
      </c>
    </row>
    <row r="13" spans="1:20" x14ac:dyDescent="0.3">
      <c r="A13" s="17">
        <v>12</v>
      </c>
      <c r="B13" s="6" t="s">
        <v>262</v>
      </c>
      <c r="C13" s="6" t="s">
        <v>263</v>
      </c>
      <c r="D13" s="7">
        <v>653.24</v>
      </c>
      <c r="E13" s="23" t="s">
        <v>11</v>
      </c>
      <c r="F13" s="23">
        <v>374.03</v>
      </c>
      <c r="G13" s="23" t="s">
        <v>11</v>
      </c>
      <c r="H13" s="7">
        <v>12</v>
      </c>
      <c r="I13" s="23" t="s">
        <v>12</v>
      </c>
      <c r="J13" s="7" t="s">
        <v>20</v>
      </c>
      <c r="K13" s="23" t="s">
        <v>20</v>
      </c>
      <c r="L13" s="23">
        <v>12</v>
      </c>
      <c r="M13" s="23" t="s">
        <v>12</v>
      </c>
      <c r="N13" s="8" t="s">
        <v>13</v>
      </c>
      <c r="O13" s="7" t="s">
        <v>13</v>
      </c>
      <c r="P13" s="6" t="s">
        <v>23</v>
      </c>
      <c r="Q13" s="7" t="s">
        <v>20</v>
      </c>
      <c r="R13" s="6" t="s">
        <v>20</v>
      </c>
      <c r="S13" s="23" t="s">
        <v>61</v>
      </c>
      <c r="T13" s="24" t="s">
        <v>264</v>
      </c>
    </row>
    <row r="14" spans="1:20" x14ac:dyDescent="0.3">
      <c r="A14" s="17">
        <v>13</v>
      </c>
      <c r="B14" s="6" t="s">
        <v>265</v>
      </c>
      <c r="C14" s="6" t="s">
        <v>263</v>
      </c>
      <c r="D14" s="7">
        <v>452.99</v>
      </c>
      <c r="E14" s="23" t="s">
        <v>11</v>
      </c>
      <c r="F14" s="23">
        <v>261.82</v>
      </c>
      <c r="G14" s="23" t="s">
        <v>11</v>
      </c>
      <c r="H14" s="7">
        <v>11</v>
      </c>
      <c r="I14" s="23" t="s">
        <v>12</v>
      </c>
      <c r="J14" s="7" t="s">
        <v>20</v>
      </c>
      <c r="K14" s="23" t="s">
        <v>20</v>
      </c>
      <c r="L14" s="23">
        <v>11</v>
      </c>
      <c r="M14" s="23" t="s">
        <v>12</v>
      </c>
      <c r="N14" s="8" t="s">
        <v>13</v>
      </c>
      <c r="O14" s="7" t="s">
        <v>13</v>
      </c>
      <c r="P14" s="6" t="s">
        <v>23</v>
      </c>
      <c r="Q14" s="7" t="s">
        <v>20</v>
      </c>
      <c r="R14" s="6" t="s">
        <v>20</v>
      </c>
      <c r="S14" s="23" t="s">
        <v>61</v>
      </c>
      <c r="T14" s="24" t="s">
        <v>266</v>
      </c>
    </row>
    <row r="15" spans="1:20" x14ac:dyDescent="0.3">
      <c r="A15" s="17">
        <v>14</v>
      </c>
      <c r="B15" s="6" t="s">
        <v>267</v>
      </c>
      <c r="C15" s="6" t="s">
        <v>263</v>
      </c>
      <c r="D15" s="7">
        <v>452.99</v>
      </c>
      <c r="E15" s="23" t="s">
        <v>11</v>
      </c>
      <c r="F15" s="23">
        <v>254.34</v>
      </c>
      <c r="G15" s="23" t="s">
        <v>11</v>
      </c>
      <c r="H15" s="7">
        <v>8.25</v>
      </c>
      <c r="I15" s="23" t="s">
        <v>12</v>
      </c>
      <c r="J15" s="7" t="s">
        <v>20</v>
      </c>
      <c r="K15" s="23" t="s">
        <v>20</v>
      </c>
      <c r="L15" s="23">
        <v>8.25</v>
      </c>
      <c r="M15" s="23" t="s">
        <v>12</v>
      </c>
      <c r="N15" s="8" t="s">
        <v>13</v>
      </c>
      <c r="O15" s="7" t="s">
        <v>13</v>
      </c>
      <c r="P15" s="6" t="s">
        <v>23</v>
      </c>
      <c r="Q15" s="7" t="s">
        <v>20</v>
      </c>
      <c r="R15" s="6" t="s">
        <v>20</v>
      </c>
      <c r="S15" s="23" t="s">
        <v>61</v>
      </c>
      <c r="T15" s="24" t="s">
        <v>266</v>
      </c>
    </row>
    <row r="16" spans="1:20" x14ac:dyDescent="0.3">
      <c r="A16" s="17">
        <v>15</v>
      </c>
      <c r="B16" s="6" t="s">
        <v>268</v>
      </c>
      <c r="C16" s="6" t="s">
        <v>263</v>
      </c>
      <c r="D16" s="7">
        <v>28.080000000000002</v>
      </c>
      <c r="E16" s="23" t="s">
        <v>11</v>
      </c>
      <c r="F16" s="23">
        <v>25.060000000000002</v>
      </c>
      <c r="G16" s="23" t="s">
        <v>11</v>
      </c>
      <c r="H16" s="7">
        <v>1.5</v>
      </c>
      <c r="I16" s="23" t="s">
        <v>12</v>
      </c>
      <c r="J16" s="7" t="s">
        <v>20</v>
      </c>
      <c r="K16" s="23" t="s">
        <v>20</v>
      </c>
      <c r="L16" s="23">
        <v>1.5</v>
      </c>
      <c r="M16" s="23" t="s">
        <v>12</v>
      </c>
      <c r="N16" s="8" t="s">
        <v>13</v>
      </c>
      <c r="O16" s="7" t="s">
        <v>13</v>
      </c>
      <c r="P16" s="6" t="s">
        <v>23</v>
      </c>
      <c r="Q16" s="7" t="s">
        <v>20</v>
      </c>
      <c r="R16" s="6" t="s">
        <v>20</v>
      </c>
      <c r="S16" s="23" t="s">
        <v>269</v>
      </c>
      <c r="T16" s="24" t="s">
        <v>270</v>
      </c>
    </row>
    <row r="17" spans="1:20" x14ac:dyDescent="0.3">
      <c r="A17" s="17">
        <v>16</v>
      </c>
      <c r="B17" s="6" t="s">
        <v>271</v>
      </c>
      <c r="C17" s="6" t="s">
        <v>258</v>
      </c>
      <c r="D17" s="7" t="s">
        <v>13</v>
      </c>
      <c r="E17" s="23" t="s">
        <v>20</v>
      </c>
      <c r="F17" s="23">
        <v>4488.3100000000004</v>
      </c>
      <c r="G17" s="23" t="s">
        <v>11</v>
      </c>
      <c r="H17" s="7">
        <v>50</v>
      </c>
      <c r="I17" s="23" t="s">
        <v>12</v>
      </c>
      <c r="J17" s="7" t="s">
        <v>20</v>
      </c>
      <c r="K17" s="23" t="s">
        <v>20</v>
      </c>
      <c r="L17" s="23">
        <v>50</v>
      </c>
      <c r="M17" s="23" t="s">
        <v>12</v>
      </c>
      <c r="N17" s="8" t="s">
        <v>13</v>
      </c>
      <c r="O17" s="7" t="s">
        <v>13</v>
      </c>
      <c r="P17" s="6" t="s">
        <v>23</v>
      </c>
      <c r="Q17" s="7" t="s">
        <v>20</v>
      </c>
      <c r="R17" s="6" t="s">
        <v>20</v>
      </c>
      <c r="S17" s="23" t="s">
        <v>41</v>
      </c>
      <c r="T17" s="24" t="s">
        <v>260</v>
      </c>
    </row>
    <row r="18" spans="1:20" x14ac:dyDescent="0.3">
      <c r="A18" s="17">
        <v>17</v>
      </c>
      <c r="B18" s="6" t="s">
        <v>272</v>
      </c>
      <c r="C18" s="6" t="s">
        <v>258</v>
      </c>
      <c r="D18" s="7" t="s">
        <v>13</v>
      </c>
      <c r="E18" s="23" t="s">
        <v>20</v>
      </c>
      <c r="F18" s="23">
        <v>2992.21</v>
      </c>
      <c r="G18" s="23" t="s">
        <v>11</v>
      </c>
      <c r="H18" s="7">
        <v>25</v>
      </c>
      <c r="I18" s="23" t="s">
        <v>12</v>
      </c>
      <c r="J18" s="7" t="s">
        <v>20</v>
      </c>
      <c r="K18" s="23" t="s">
        <v>20</v>
      </c>
      <c r="L18" s="23">
        <v>25</v>
      </c>
      <c r="M18" s="23" t="s">
        <v>12</v>
      </c>
      <c r="N18" s="8" t="s">
        <v>13</v>
      </c>
      <c r="O18" s="7" t="s">
        <v>13</v>
      </c>
      <c r="P18" s="6" t="s">
        <v>23</v>
      </c>
      <c r="Q18" s="7" t="s">
        <v>20</v>
      </c>
      <c r="R18" s="6" t="s">
        <v>20</v>
      </c>
      <c r="S18" s="23" t="s">
        <v>61</v>
      </c>
      <c r="T18" s="24" t="s">
        <v>260</v>
      </c>
    </row>
    <row r="19" spans="1:20" x14ac:dyDescent="0.3">
      <c r="A19" s="17">
        <v>18</v>
      </c>
      <c r="B19" s="6" t="s">
        <v>273</v>
      </c>
      <c r="C19" s="6" t="s">
        <v>258</v>
      </c>
      <c r="D19" s="7">
        <v>3741.65</v>
      </c>
      <c r="E19" s="23" t="s">
        <v>11</v>
      </c>
      <c r="F19" s="23">
        <v>2992.21</v>
      </c>
      <c r="G19" s="23" t="s">
        <v>11</v>
      </c>
      <c r="H19" s="7">
        <v>100</v>
      </c>
      <c r="I19" s="23" t="s">
        <v>12</v>
      </c>
      <c r="J19" s="7" t="s">
        <v>20</v>
      </c>
      <c r="K19" s="23" t="s">
        <v>20</v>
      </c>
      <c r="L19" s="23">
        <v>100</v>
      </c>
      <c r="M19" s="23" t="s">
        <v>12</v>
      </c>
      <c r="N19" s="8" t="s">
        <v>13</v>
      </c>
      <c r="O19" s="7">
        <v>16</v>
      </c>
      <c r="P19" s="6" t="s">
        <v>23</v>
      </c>
      <c r="Q19" s="7" t="s">
        <v>20</v>
      </c>
      <c r="R19" s="6" t="s">
        <v>20</v>
      </c>
      <c r="S19" s="23" t="s">
        <v>52</v>
      </c>
      <c r="T19" s="24" t="s">
        <v>260</v>
      </c>
    </row>
    <row r="20" spans="1:20" x14ac:dyDescent="0.3">
      <c r="A20" s="17">
        <v>19</v>
      </c>
      <c r="B20" s="6" t="s">
        <v>274</v>
      </c>
      <c r="C20" s="6" t="s">
        <v>258</v>
      </c>
      <c r="D20" s="7">
        <v>3337.1400000000003</v>
      </c>
      <c r="E20" s="23" t="s">
        <v>11</v>
      </c>
      <c r="F20" s="23">
        <v>2618.1799999999998</v>
      </c>
      <c r="G20" s="23" t="s">
        <v>11</v>
      </c>
      <c r="H20" s="7">
        <v>100</v>
      </c>
      <c r="I20" s="23" t="s">
        <v>12</v>
      </c>
      <c r="J20" s="7" t="s">
        <v>20</v>
      </c>
      <c r="K20" s="23" t="s">
        <v>20</v>
      </c>
      <c r="L20" s="23">
        <v>100</v>
      </c>
      <c r="M20" s="23" t="s">
        <v>12</v>
      </c>
      <c r="N20" s="8" t="s">
        <v>13</v>
      </c>
      <c r="O20" s="7" t="s">
        <v>13</v>
      </c>
      <c r="P20" s="6" t="s">
        <v>23</v>
      </c>
      <c r="Q20" s="7" t="s">
        <v>20</v>
      </c>
      <c r="R20" s="6" t="s">
        <v>20</v>
      </c>
      <c r="S20" s="23" t="s">
        <v>61</v>
      </c>
      <c r="T20" s="24" t="s">
        <v>260</v>
      </c>
    </row>
    <row r="21" spans="1:20" x14ac:dyDescent="0.3">
      <c r="A21" s="17">
        <v>20</v>
      </c>
      <c r="B21" s="6" t="s">
        <v>275</v>
      </c>
      <c r="C21" s="6" t="s">
        <v>258</v>
      </c>
      <c r="D21" s="7">
        <v>2756.57</v>
      </c>
      <c r="E21" s="23" t="s">
        <v>11</v>
      </c>
      <c r="F21" s="23">
        <v>2244.16</v>
      </c>
      <c r="G21" s="23" t="s">
        <v>11</v>
      </c>
      <c r="H21" s="7">
        <v>100</v>
      </c>
      <c r="I21" s="23" t="s">
        <v>12</v>
      </c>
      <c r="J21" s="7" t="s">
        <v>20</v>
      </c>
      <c r="K21" s="23" t="s">
        <v>20</v>
      </c>
      <c r="L21" s="23">
        <v>100</v>
      </c>
      <c r="M21" s="23" t="s">
        <v>12</v>
      </c>
      <c r="N21" s="8" t="s">
        <v>13</v>
      </c>
      <c r="O21" s="7">
        <v>21</v>
      </c>
      <c r="P21" s="6" t="s">
        <v>23</v>
      </c>
      <c r="Q21" s="7" t="s">
        <v>20</v>
      </c>
      <c r="R21" s="6" t="s">
        <v>20</v>
      </c>
      <c r="S21" s="23" t="s">
        <v>52</v>
      </c>
      <c r="T21" s="24" t="s">
        <v>260</v>
      </c>
    </row>
    <row r="22" spans="1:20" x14ac:dyDescent="0.3">
      <c r="A22" s="17">
        <v>21</v>
      </c>
      <c r="B22" s="6" t="s">
        <v>276</v>
      </c>
      <c r="C22" s="6" t="s">
        <v>258</v>
      </c>
      <c r="D22" s="7" t="s">
        <v>13</v>
      </c>
      <c r="E22" s="23" t="s">
        <v>20</v>
      </c>
      <c r="F22" s="23">
        <v>2244.16</v>
      </c>
      <c r="G22" s="23" t="s">
        <v>11</v>
      </c>
      <c r="H22" s="7">
        <v>30</v>
      </c>
      <c r="I22" s="23" t="s">
        <v>12</v>
      </c>
      <c r="J22" s="7" t="s">
        <v>20</v>
      </c>
      <c r="K22" s="23" t="s">
        <v>20</v>
      </c>
      <c r="L22" s="23">
        <v>30</v>
      </c>
      <c r="M22" s="23" t="s">
        <v>12</v>
      </c>
      <c r="N22" s="8" t="s">
        <v>13</v>
      </c>
      <c r="O22" s="7" t="s">
        <v>13</v>
      </c>
      <c r="P22" s="6" t="s">
        <v>23</v>
      </c>
      <c r="Q22" s="7" t="s">
        <v>20</v>
      </c>
      <c r="R22" s="6" t="s">
        <v>20</v>
      </c>
      <c r="S22" s="23" t="s">
        <v>61</v>
      </c>
      <c r="T22" s="24" t="s">
        <v>260</v>
      </c>
    </row>
    <row r="23" spans="1:20" x14ac:dyDescent="0.3">
      <c r="A23" s="17">
        <v>22</v>
      </c>
      <c r="B23" s="6" t="s">
        <v>277</v>
      </c>
      <c r="C23" s="6" t="s">
        <v>258</v>
      </c>
      <c r="D23" s="7">
        <v>2336.73</v>
      </c>
      <c r="E23" s="23" t="s">
        <v>11</v>
      </c>
      <c r="F23" s="23">
        <v>1870.13</v>
      </c>
      <c r="G23" s="23" t="s">
        <v>11</v>
      </c>
      <c r="H23" s="7">
        <v>75</v>
      </c>
      <c r="I23" s="23" t="s">
        <v>12</v>
      </c>
      <c r="J23" s="7" t="s">
        <v>20</v>
      </c>
      <c r="K23" s="23" t="s">
        <v>20</v>
      </c>
      <c r="L23" s="23">
        <v>75</v>
      </c>
      <c r="M23" s="23" t="s">
        <v>12</v>
      </c>
      <c r="N23" s="8" t="s">
        <v>13</v>
      </c>
      <c r="O23" s="7">
        <v>22</v>
      </c>
      <c r="P23" s="6" t="s">
        <v>23</v>
      </c>
      <c r="Q23" s="7" t="s">
        <v>20</v>
      </c>
      <c r="R23" s="6" t="s">
        <v>20</v>
      </c>
      <c r="S23" s="23" t="s">
        <v>52</v>
      </c>
      <c r="T23" s="24" t="s">
        <v>260</v>
      </c>
    </row>
    <row r="24" spans="1:20" x14ac:dyDescent="0.3">
      <c r="A24" s="17">
        <v>23</v>
      </c>
      <c r="B24" s="6" t="s">
        <v>278</v>
      </c>
      <c r="C24" s="6" t="s">
        <v>258</v>
      </c>
      <c r="D24" s="7">
        <v>2171.88</v>
      </c>
      <c r="E24" s="23" t="s">
        <v>11</v>
      </c>
      <c r="F24" s="23">
        <v>1570.91</v>
      </c>
      <c r="G24" s="23" t="s">
        <v>11</v>
      </c>
      <c r="H24" s="7">
        <v>30</v>
      </c>
      <c r="I24" s="23" t="s">
        <v>12</v>
      </c>
      <c r="J24" s="7" t="s">
        <v>20</v>
      </c>
      <c r="K24" s="23" t="s">
        <v>20</v>
      </c>
      <c r="L24" s="23">
        <v>30</v>
      </c>
      <c r="M24" s="23" t="s">
        <v>12</v>
      </c>
      <c r="N24" s="8" t="s">
        <v>13</v>
      </c>
      <c r="O24" s="7">
        <v>68</v>
      </c>
      <c r="P24" s="6" t="s">
        <v>23</v>
      </c>
      <c r="Q24" s="7" t="s">
        <v>20</v>
      </c>
      <c r="R24" s="6" t="s">
        <v>20</v>
      </c>
      <c r="S24" s="23" t="s">
        <v>61</v>
      </c>
      <c r="T24" s="24" t="s">
        <v>260</v>
      </c>
    </row>
    <row r="25" spans="1:20" x14ac:dyDescent="0.3">
      <c r="A25" s="17">
        <v>24</v>
      </c>
      <c r="B25" s="6" t="s">
        <v>279</v>
      </c>
      <c r="C25" s="6" t="s">
        <v>258</v>
      </c>
      <c r="D25" s="7">
        <v>1896.18</v>
      </c>
      <c r="E25" s="23" t="s">
        <v>11</v>
      </c>
      <c r="F25" s="23">
        <v>1496.1</v>
      </c>
      <c r="G25" s="23" t="s">
        <v>11</v>
      </c>
      <c r="H25" s="7">
        <v>75</v>
      </c>
      <c r="I25" s="23" t="s">
        <v>12</v>
      </c>
      <c r="J25" s="7" t="s">
        <v>20</v>
      </c>
      <c r="K25" s="23" t="s">
        <v>20</v>
      </c>
      <c r="L25" s="23">
        <v>75</v>
      </c>
      <c r="M25" s="23" t="s">
        <v>12</v>
      </c>
      <c r="N25" s="8" t="s">
        <v>13</v>
      </c>
      <c r="O25" s="7">
        <v>22</v>
      </c>
      <c r="P25" s="6" t="s">
        <v>23</v>
      </c>
      <c r="Q25" s="7" t="s">
        <v>20</v>
      </c>
      <c r="R25" s="6" t="s">
        <v>20</v>
      </c>
      <c r="S25" s="23" t="s">
        <v>52</v>
      </c>
      <c r="T25" s="24" t="s">
        <v>260</v>
      </c>
    </row>
    <row r="26" spans="1:20" x14ac:dyDescent="0.3">
      <c r="A26" s="17">
        <v>25</v>
      </c>
      <c r="B26" s="6" t="s">
        <v>280</v>
      </c>
      <c r="C26" s="6" t="s">
        <v>258</v>
      </c>
      <c r="D26" s="7">
        <v>1410.58</v>
      </c>
      <c r="E26" s="23" t="s">
        <v>11</v>
      </c>
      <c r="F26" s="23">
        <v>1122.08</v>
      </c>
      <c r="G26" s="23" t="s">
        <v>11</v>
      </c>
      <c r="H26" s="7">
        <v>50</v>
      </c>
      <c r="I26" s="23" t="s">
        <v>12</v>
      </c>
      <c r="J26" s="7" t="s">
        <v>20</v>
      </c>
      <c r="K26" s="23" t="s">
        <v>20</v>
      </c>
      <c r="L26" s="23">
        <v>50</v>
      </c>
      <c r="M26" s="23" t="s">
        <v>12</v>
      </c>
      <c r="N26" s="8" t="s">
        <v>13</v>
      </c>
      <c r="O26" s="7">
        <v>25</v>
      </c>
      <c r="P26" s="6" t="s">
        <v>23</v>
      </c>
      <c r="Q26" s="7" t="s">
        <v>20</v>
      </c>
      <c r="R26" s="6" t="s">
        <v>20</v>
      </c>
      <c r="S26" s="23" t="s">
        <v>52</v>
      </c>
      <c r="T26" s="24" t="s">
        <v>260</v>
      </c>
    </row>
    <row r="27" spans="1:20" x14ac:dyDescent="0.3">
      <c r="A27" s="17">
        <v>26</v>
      </c>
      <c r="B27" s="6" t="s">
        <v>281</v>
      </c>
      <c r="C27" s="6" t="s">
        <v>258</v>
      </c>
      <c r="D27" s="7" t="s">
        <v>13</v>
      </c>
      <c r="E27" s="23" t="s">
        <v>20</v>
      </c>
      <c r="F27" s="23">
        <v>1047.27</v>
      </c>
      <c r="G27" s="23" t="s">
        <v>11</v>
      </c>
      <c r="H27" s="7">
        <v>25</v>
      </c>
      <c r="I27" s="23" t="s">
        <v>12</v>
      </c>
      <c r="J27" s="7" t="s">
        <v>20</v>
      </c>
      <c r="K27" s="23" t="s">
        <v>20</v>
      </c>
      <c r="L27" s="23">
        <v>25</v>
      </c>
      <c r="M27" s="23" t="s">
        <v>12</v>
      </c>
      <c r="N27" s="8" t="s">
        <v>13</v>
      </c>
      <c r="O27" s="7">
        <v>84</v>
      </c>
      <c r="P27" s="6" t="s">
        <v>23</v>
      </c>
      <c r="Q27" s="7" t="s">
        <v>20</v>
      </c>
      <c r="R27" s="6" t="s">
        <v>20</v>
      </c>
      <c r="S27" s="23" t="s">
        <v>41</v>
      </c>
      <c r="T27" s="24" t="s">
        <v>260</v>
      </c>
    </row>
    <row r="28" spans="1:20" x14ac:dyDescent="0.3">
      <c r="A28" s="17">
        <v>27</v>
      </c>
      <c r="B28" s="6" t="s">
        <v>282</v>
      </c>
      <c r="C28" s="6" t="s">
        <v>258</v>
      </c>
      <c r="D28" s="7">
        <v>809.46</v>
      </c>
      <c r="E28" s="23" t="s">
        <v>11</v>
      </c>
      <c r="F28" s="23">
        <v>748.05</v>
      </c>
      <c r="G28" s="23" t="s">
        <v>11</v>
      </c>
      <c r="H28" s="7">
        <v>1</v>
      </c>
      <c r="I28" s="23" t="s">
        <v>12</v>
      </c>
      <c r="J28" s="7" t="s">
        <v>20</v>
      </c>
      <c r="K28" s="23" t="s">
        <v>20</v>
      </c>
      <c r="L28" s="23">
        <v>1</v>
      </c>
      <c r="M28" s="23" t="s">
        <v>12</v>
      </c>
      <c r="N28" s="8">
        <v>0.85499999999999998</v>
      </c>
      <c r="O28" s="7" t="s">
        <v>13</v>
      </c>
      <c r="P28" s="6" t="s">
        <v>23</v>
      </c>
      <c r="Q28" s="7" t="s">
        <v>20</v>
      </c>
      <c r="R28" s="6" t="s">
        <v>20</v>
      </c>
      <c r="S28" s="23" t="s">
        <v>61</v>
      </c>
      <c r="T28" s="24" t="s">
        <v>260</v>
      </c>
    </row>
    <row r="29" spans="1:20" x14ac:dyDescent="0.3">
      <c r="A29" s="17">
        <v>28</v>
      </c>
      <c r="B29" s="6" t="s">
        <v>283</v>
      </c>
      <c r="C29" s="6" t="s">
        <v>258</v>
      </c>
      <c r="D29" s="7">
        <v>974.97</v>
      </c>
      <c r="E29" s="23" t="s">
        <v>11</v>
      </c>
      <c r="F29" s="23">
        <v>748.05</v>
      </c>
      <c r="G29" s="23" t="s">
        <v>11</v>
      </c>
      <c r="H29" s="7">
        <v>40</v>
      </c>
      <c r="I29" s="23" t="s">
        <v>12</v>
      </c>
      <c r="J29" s="7" t="s">
        <v>20</v>
      </c>
      <c r="K29" s="23" t="s">
        <v>20</v>
      </c>
      <c r="L29" s="23">
        <v>40</v>
      </c>
      <c r="M29" s="23" t="s">
        <v>12</v>
      </c>
      <c r="N29" s="8" t="s">
        <v>13</v>
      </c>
      <c r="O29" s="7">
        <v>26</v>
      </c>
      <c r="P29" s="6" t="s">
        <v>23</v>
      </c>
      <c r="Q29" s="7" t="s">
        <v>20</v>
      </c>
      <c r="R29" s="6" t="s">
        <v>20</v>
      </c>
      <c r="S29" s="23" t="s">
        <v>52</v>
      </c>
      <c r="T29" s="24" t="s">
        <v>260</v>
      </c>
    </row>
    <row r="30" spans="1:20" x14ac:dyDescent="0.3">
      <c r="A30" s="17">
        <v>29</v>
      </c>
      <c r="B30" s="6" t="s">
        <v>284</v>
      </c>
      <c r="C30" s="6" t="s">
        <v>258</v>
      </c>
      <c r="D30" s="7">
        <v>987.35</v>
      </c>
      <c r="E30" s="23" t="s">
        <v>11</v>
      </c>
      <c r="F30" s="23">
        <v>748.05</v>
      </c>
      <c r="G30" s="23" t="s">
        <v>11</v>
      </c>
      <c r="H30" s="7">
        <v>20</v>
      </c>
      <c r="I30" s="23" t="s">
        <v>12</v>
      </c>
      <c r="J30" s="7" t="s">
        <v>20</v>
      </c>
      <c r="K30" s="23" t="s">
        <v>20</v>
      </c>
      <c r="L30" s="23">
        <v>20</v>
      </c>
      <c r="M30" s="23" t="s">
        <v>12</v>
      </c>
      <c r="N30" s="8" t="s">
        <v>13</v>
      </c>
      <c r="O30" s="7" t="s">
        <v>13</v>
      </c>
      <c r="P30" s="6" t="s">
        <v>23</v>
      </c>
      <c r="Q30" s="7" t="s">
        <v>20</v>
      </c>
      <c r="R30" s="6" t="s">
        <v>20</v>
      </c>
      <c r="S30" s="23" t="s">
        <v>285</v>
      </c>
      <c r="T30" s="24" t="s">
        <v>260</v>
      </c>
    </row>
    <row r="31" spans="1:20" x14ac:dyDescent="0.3">
      <c r="A31" s="17">
        <v>30</v>
      </c>
      <c r="B31" s="6" t="s">
        <v>286</v>
      </c>
      <c r="C31" s="6" t="s">
        <v>258</v>
      </c>
      <c r="D31" s="7">
        <v>1125.54</v>
      </c>
      <c r="E31" s="23" t="s">
        <v>11</v>
      </c>
      <c r="F31" s="23">
        <v>748.05</v>
      </c>
      <c r="G31" s="23" t="s">
        <v>11</v>
      </c>
      <c r="H31" s="7">
        <v>30</v>
      </c>
      <c r="I31" s="23" t="s">
        <v>12</v>
      </c>
      <c r="J31" s="7" t="s">
        <v>20</v>
      </c>
      <c r="K31" s="23" t="s">
        <v>20</v>
      </c>
      <c r="L31" s="23">
        <v>30</v>
      </c>
      <c r="M31" s="23" t="s">
        <v>12</v>
      </c>
      <c r="N31" s="8" t="s">
        <v>13</v>
      </c>
      <c r="O31" s="7" t="s">
        <v>13</v>
      </c>
      <c r="P31" s="6" t="s">
        <v>23</v>
      </c>
      <c r="Q31" s="7" t="s">
        <v>20</v>
      </c>
      <c r="R31" s="6" t="s">
        <v>20</v>
      </c>
      <c r="S31" s="23" t="s">
        <v>61</v>
      </c>
      <c r="T31" s="24" t="s">
        <v>260</v>
      </c>
    </row>
    <row r="32" spans="1:20" x14ac:dyDescent="0.3">
      <c r="A32" s="17">
        <v>31</v>
      </c>
      <c r="B32" s="6" t="s">
        <v>287</v>
      </c>
      <c r="C32" s="6" t="s">
        <v>258</v>
      </c>
      <c r="D32" s="7">
        <v>1077.4100000000001</v>
      </c>
      <c r="E32" s="23" t="s">
        <v>11</v>
      </c>
      <c r="F32" s="23">
        <v>748.05</v>
      </c>
      <c r="G32" s="23" t="s">
        <v>11</v>
      </c>
      <c r="H32" s="7">
        <v>25</v>
      </c>
      <c r="I32" s="23" t="s">
        <v>12</v>
      </c>
      <c r="J32" s="7" t="s">
        <v>20</v>
      </c>
      <c r="K32" s="23" t="s">
        <v>20</v>
      </c>
      <c r="L32" s="23">
        <v>25</v>
      </c>
      <c r="M32" s="23" t="s">
        <v>12</v>
      </c>
      <c r="N32" s="8" t="s">
        <v>13</v>
      </c>
      <c r="O32" s="7" t="s">
        <v>13</v>
      </c>
      <c r="P32" s="6" t="s">
        <v>23</v>
      </c>
      <c r="Q32" s="7" t="s">
        <v>20</v>
      </c>
      <c r="R32" s="6" t="s">
        <v>20</v>
      </c>
      <c r="S32" s="23" t="s">
        <v>41</v>
      </c>
      <c r="T32" s="24" t="s">
        <v>288</v>
      </c>
    </row>
    <row r="33" spans="1:20" x14ac:dyDescent="0.3">
      <c r="A33" s="17">
        <v>32</v>
      </c>
      <c r="B33" s="6" t="s">
        <v>289</v>
      </c>
      <c r="C33" s="6" t="s">
        <v>258</v>
      </c>
      <c r="D33" s="7">
        <v>1097.1500000000001</v>
      </c>
      <c r="E33" s="23" t="s">
        <v>11</v>
      </c>
      <c r="F33" s="23">
        <v>710.65</v>
      </c>
      <c r="G33" s="23" t="s">
        <v>11</v>
      </c>
      <c r="H33" s="7">
        <v>30</v>
      </c>
      <c r="I33" s="23" t="s">
        <v>12</v>
      </c>
      <c r="J33" s="7" t="s">
        <v>20</v>
      </c>
      <c r="K33" s="23" t="s">
        <v>20</v>
      </c>
      <c r="L33" s="23">
        <v>30</v>
      </c>
      <c r="M33" s="23" t="s">
        <v>12</v>
      </c>
      <c r="N33" s="8">
        <v>0.92400000000000004</v>
      </c>
      <c r="O33" s="7">
        <v>29</v>
      </c>
      <c r="P33" s="6" t="s">
        <v>23</v>
      </c>
      <c r="Q33" s="7" t="s">
        <v>20</v>
      </c>
      <c r="R33" s="6" t="s">
        <v>20</v>
      </c>
      <c r="S33" s="23" t="s">
        <v>52</v>
      </c>
      <c r="T33" s="24" t="s">
        <v>260</v>
      </c>
    </row>
    <row r="34" spans="1:20" x14ac:dyDescent="0.3">
      <c r="A34" s="17">
        <v>33</v>
      </c>
      <c r="B34" s="6" t="s">
        <v>290</v>
      </c>
      <c r="C34" s="6" t="s">
        <v>258</v>
      </c>
      <c r="D34" s="7">
        <v>997.41</v>
      </c>
      <c r="E34" s="23" t="s">
        <v>11</v>
      </c>
      <c r="F34" s="23">
        <v>673.25</v>
      </c>
      <c r="G34" s="23" t="s">
        <v>11</v>
      </c>
      <c r="H34" s="7">
        <v>40</v>
      </c>
      <c r="I34" s="23" t="s">
        <v>12</v>
      </c>
      <c r="J34" s="7" t="s">
        <v>20</v>
      </c>
      <c r="K34" s="23" t="s">
        <v>20</v>
      </c>
      <c r="L34" s="23">
        <v>40</v>
      </c>
      <c r="M34" s="23" t="s">
        <v>12</v>
      </c>
      <c r="N34" s="8" t="s">
        <v>13</v>
      </c>
      <c r="O34" s="7" t="s">
        <v>13</v>
      </c>
      <c r="P34" s="6" t="s">
        <v>23</v>
      </c>
      <c r="Q34" s="7" t="s">
        <v>20</v>
      </c>
      <c r="R34" s="6" t="s">
        <v>20</v>
      </c>
      <c r="S34" s="23" t="s">
        <v>61</v>
      </c>
      <c r="T34" s="24" t="s">
        <v>288</v>
      </c>
    </row>
    <row r="35" spans="1:20" x14ac:dyDescent="0.3">
      <c r="A35" s="17">
        <v>34</v>
      </c>
      <c r="B35" s="6" t="s">
        <v>291</v>
      </c>
      <c r="C35" s="6" t="s">
        <v>258</v>
      </c>
      <c r="D35" s="7">
        <v>916.37</v>
      </c>
      <c r="E35" s="23" t="s">
        <v>11</v>
      </c>
      <c r="F35" s="23">
        <v>650.80999999999995</v>
      </c>
      <c r="G35" s="23" t="s">
        <v>11</v>
      </c>
      <c r="H35" s="7">
        <v>20</v>
      </c>
      <c r="I35" s="23" t="s">
        <v>12</v>
      </c>
      <c r="J35" s="7" t="s">
        <v>20</v>
      </c>
      <c r="K35" s="23" t="s">
        <v>20</v>
      </c>
      <c r="L35" s="23">
        <v>20</v>
      </c>
      <c r="M35" s="23" t="s">
        <v>12</v>
      </c>
      <c r="N35" s="8" t="s">
        <v>13</v>
      </c>
      <c r="O35" s="7">
        <v>31.2</v>
      </c>
      <c r="P35" s="6" t="s">
        <v>23</v>
      </c>
      <c r="Q35" s="7" t="s">
        <v>20</v>
      </c>
      <c r="R35" s="6" t="s">
        <v>20</v>
      </c>
      <c r="S35" s="23" t="s">
        <v>52</v>
      </c>
      <c r="T35" s="24" t="s">
        <v>260</v>
      </c>
    </row>
    <row r="36" spans="1:20" x14ac:dyDescent="0.3">
      <c r="A36" s="17">
        <v>35</v>
      </c>
      <c r="B36" s="6" t="s">
        <v>292</v>
      </c>
      <c r="C36" s="6" t="s">
        <v>258</v>
      </c>
      <c r="D36" s="7" t="s">
        <v>13</v>
      </c>
      <c r="E36" s="23" t="s">
        <v>20</v>
      </c>
      <c r="F36" s="23">
        <v>561.04</v>
      </c>
      <c r="G36" s="23" t="s">
        <v>11</v>
      </c>
      <c r="H36" s="7">
        <v>11</v>
      </c>
      <c r="I36" s="23" t="s">
        <v>12</v>
      </c>
      <c r="J36" s="7" t="s">
        <v>20</v>
      </c>
      <c r="K36" s="23" t="s">
        <v>20</v>
      </c>
      <c r="L36" s="23">
        <v>11</v>
      </c>
      <c r="M36" s="23" t="s">
        <v>12</v>
      </c>
      <c r="N36" s="8" t="s">
        <v>13</v>
      </c>
      <c r="O36" s="7" t="s">
        <v>13</v>
      </c>
      <c r="P36" s="6" t="s">
        <v>23</v>
      </c>
      <c r="Q36" s="7" t="s">
        <v>20</v>
      </c>
      <c r="R36" s="6" t="s">
        <v>20</v>
      </c>
      <c r="S36" s="23" t="s">
        <v>41</v>
      </c>
      <c r="T36" s="24" t="s">
        <v>288</v>
      </c>
    </row>
    <row r="37" spans="1:20" x14ac:dyDescent="0.3">
      <c r="A37" s="17">
        <v>36</v>
      </c>
      <c r="B37" s="6" t="s">
        <v>293</v>
      </c>
      <c r="C37" s="6" t="s">
        <v>258</v>
      </c>
      <c r="D37" s="7">
        <v>773.18</v>
      </c>
      <c r="E37" s="23" t="s">
        <v>11</v>
      </c>
      <c r="F37" s="23">
        <v>561.04</v>
      </c>
      <c r="G37" s="23" t="s">
        <v>11</v>
      </c>
      <c r="H37" s="7">
        <v>15</v>
      </c>
      <c r="I37" s="23" t="s">
        <v>12</v>
      </c>
      <c r="J37" s="7" t="s">
        <v>20</v>
      </c>
      <c r="K37" s="23" t="s">
        <v>20</v>
      </c>
      <c r="L37" s="23">
        <v>15</v>
      </c>
      <c r="M37" s="23" t="s">
        <v>12</v>
      </c>
      <c r="N37" s="8" t="s">
        <v>13</v>
      </c>
      <c r="O37" s="7" t="s">
        <v>13</v>
      </c>
      <c r="P37" s="6" t="s">
        <v>23</v>
      </c>
      <c r="Q37" s="7" t="s">
        <v>20</v>
      </c>
      <c r="R37" s="6" t="s">
        <v>20</v>
      </c>
      <c r="S37" s="23" t="s">
        <v>294</v>
      </c>
      <c r="T37" s="24" t="s">
        <v>260</v>
      </c>
    </row>
    <row r="38" spans="1:20" x14ac:dyDescent="0.3">
      <c r="A38" s="17">
        <v>37</v>
      </c>
      <c r="B38" s="6" t="s">
        <v>295</v>
      </c>
      <c r="C38" s="6" t="s">
        <v>258</v>
      </c>
      <c r="D38" s="7">
        <v>734.91</v>
      </c>
      <c r="E38" s="23" t="s">
        <v>11</v>
      </c>
      <c r="F38" s="23">
        <v>561.04</v>
      </c>
      <c r="G38" s="23" t="s">
        <v>11</v>
      </c>
      <c r="H38" s="7">
        <v>30</v>
      </c>
      <c r="I38" s="23" t="s">
        <v>12</v>
      </c>
      <c r="J38" s="7" t="s">
        <v>20</v>
      </c>
      <c r="K38" s="23" t="s">
        <v>20</v>
      </c>
      <c r="L38" s="23">
        <v>30</v>
      </c>
      <c r="M38" s="23" t="s">
        <v>12</v>
      </c>
      <c r="N38" s="8" t="s">
        <v>13</v>
      </c>
      <c r="O38" s="7">
        <v>25</v>
      </c>
      <c r="P38" s="6" t="s">
        <v>23</v>
      </c>
      <c r="Q38" s="7" t="s">
        <v>20</v>
      </c>
      <c r="R38" s="6" t="s">
        <v>20</v>
      </c>
      <c r="S38" s="23" t="s">
        <v>52</v>
      </c>
      <c r="T38" s="24" t="s">
        <v>288</v>
      </c>
    </row>
    <row r="39" spans="1:20" x14ac:dyDescent="0.3">
      <c r="A39" s="17">
        <v>38</v>
      </c>
      <c r="B39" s="6" t="s">
        <v>296</v>
      </c>
      <c r="C39" s="6" t="s">
        <v>258</v>
      </c>
      <c r="D39" s="7">
        <v>605.79999999999995</v>
      </c>
      <c r="E39" s="23" t="s">
        <v>11</v>
      </c>
      <c r="F39" s="23">
        <v>448.83</v>
      </c>
      <c r="G39" s="23" t="s">
        <v>11</v>
      </c>
      <c r="H39" s="7">
        <v>12</v>
      </c>
      <c r="I39" s="23" t="s">
        <v>12</v>
      </c>
      <c r="J39" s="7" t="s">
        <v>20</v>
      </c>
      <c r="K39" s="23" t="s">
        <v>20</v>
      </c>
      <c r="L39" s="23">
        <v>12</v>
      </c>
      <c r="M39" s="23" t="s">
        <v>12</v>
      </c>
      <c r="N39" s="8" t="s">
        <v>13</v>
      </c>
      <c r="O39" s="7" t="s">
        <v>13</v>
      </c>
      <c r="P39" s="6" t="s">
        <v>23</v>
      </c>
      <c r="Q39" s="7" t="s">
        <v>20</v>
      </c>
      <c r="R39" s="6" t="s">
        <v>20</v>
      </c>
      <c r="S39" s="23" t="s">
        <v>294</v>
      </c>
      <c r="T39" s="24" t="s">
        <v>288</v>
      </c>
    </row>
    <row r="40" spans="1:20" x14ac:dyDescent="0.3">
      <c r="A40" s="17">
        <v>39</v>
      </c>
      <c r="B40" s="6" t="s">
        <v>297</v>
      </c>
      <c r="C40" s="6" t="s">
        <v>258</v>
      </c>
      <c r="D40" s="7">
        <v>675.33</v>
      </c>
      <c r="E40" s="23" t="s">
        <v>11</v>
      </c>
      <c r="F40" s="23">
        <v>374.03</v>
      </c>
      <c r="G40" s="23" t="s">
        <v>11</v>
      </c>
      <c r="H40" s="7">
        <v>10</v>
      </c>
      <c r="I40" s="23" t="s">
        <v>12</v>
      </c>
      <c r="J40" s="7" t="s">
        <v>20</v>
      </c>
      <c r="K40" s="23" t="s">
        <v>20</v>
      </c>
      <c r="L40" s="23">
        <v>10</v>
      </c>
      <c r="M40" s="23" t="s">
        <v>12</v>
      </c>
      <c r="N40" s="8">
        <v>0.92500000000000004</v>
      </c>
      <c r="O40" s="7" t="s">
        <v>13</v>
      </c>
      <c r="P40" s="6" t="s">
        <v>23</v>
      </c>
      <c r="Q40" s="7" t="s">
        <v>20</v>
      </c>
      <c r="R40" s="6" t="s">
        <v>20</v>
      </c>
      <c r="S40" s="23" t="s">
        <v>61</v>
      </c>
      <c r="T40" s="24" t="s">
        <v>288</v>
      </c>
    </row>
    <row r="41" spans="1:20" x14ac:dyDescent="0.3">
      <c r="A41" s="17">
        <v>40</v>
      </c>
      <c r="B41" s="6" t="s">
        <v>298</v>
      </c>
      <c r="C41" s="6" t="s">
        <v>258</v>
      </c>
      <c r="D41" s="7">
        <v>496.37</v>
      </c>
      <c r="E41" s="23" t="s">
        <v>11</v>
      </c>
      <c r="F41" s="23">
        <v>374.03</v>
      </c>
      <c r="G41" s="23" t="s">
        <v>11</v>
      </c>
      <c r="H41" s="7">
        <v>7.5</v>
      </c>
      <c r="I41" s="23" t="s">
        <v>12</v>
      </c>
      <c r="J41" s="7" t="s">
        <v>20</v>
      </c>
      <c r="K41" s="23" t="s">
        <v>20</v>
      </c>
      <c r="L41" s="23">
        <v>7.5</v>
      </c>
      <c r="M41" s="23" t="s">
        <v>12</v>
      </c>
      <c r="N41" s="8" t="s">
        <v>13</v>
      </c>
      <c r="O41" s="7">
        <v>44</v>
      </c>
      <c r="P41" s="6" t="s">
        <v>23</v>
      </c>
      <c r="Q41" s="7" t="s">
        <v>20</v>
      </c>
      <c r="R41" s="6" t="s">
        <v>20</v>
      </c>
      <c r="S41" s="23" t="s">
        <v>52</v>
      </c>
      <c r="T41" s="24" t="s">
        <v>288</v>
      </c>
    </row>
    <row r="42" spans="1:20" x14ac:dyDescent="0.3">
      <c r="A42" s="17">
        <v>41</v>
      </c>
      <c r="B42" s="6" t="s">
        <v>299</v>
      </c>
      <c r="C42" s="6" t="s">
        <v>258</v>
      </c>
      <c r="D42" s="7">
        <v>474.08</v>
      </c>
      <c r="E42" s="23" t="s">
        <v>11</v>
      </c>
      <c r="F42" s="23">
        <v>374.03</v>
      </c>
      <c r="G42" s="23" t="s">
        <v>11</v>
      </c>
      <c r="H42" s="7">
        <v>25</v>
      </c>
      <c r="I42" s="23" t="s">
        <v>12</v>
      </c>
      <c r="J42" s="7" t="s">
        <v>20</v>
      </c>
      <c r="K42" s="23" t="s">
        <v>20</v>
      </c>
      <c r="L42" s="23">
        <v>25</v>
      </c>
      <c r="M42" s="23" t="s">
        <v>12</v>
      </c>
      <c r="N42" s="8" t="s">
        <v>13</v>
      </c>
      <c r="O42" s="7">
        <v>36</v>
      </c>
      <c r="P42" s="6" t="s">
        <v>23</v>
      </c>
      <c r="Q42" s="7" t="s">
        <v>20</v>
      </c>
      <c r="R42" s="6" t="s">
        <v>20</v>
      </c>
      <c r="S42" s="23" t="s">
        <v>52</v>
      </c>
      <c r="T42" s="24" t="s">
        <v>288</v>
      </c>
    </row>
    <row r="43" spans="1:20" x14ac:dyDescent="0.3">
      <c r="A43" s="17">
        <v>42</v>
      </c>
      <c r="B43" s="6" t="s">
        <v>300</v>
      </c>
      <c r="C43" s="6" t="s">
        <v>258</v>
      </c>
      <c r="D43" s="7">
        <v>473.53999999999996</v>
      </c>
      <c r="E43" s="23" t="s">
        <v>11</v>
      </c>
      <c r="F43" s="23">
        <v>374.03</v>
      </c>
      <c r="G43" s="23" t="s">
        <v>11</v>
      </c>
      <c r="H43" s="7">
        <v>12</v>
      </c>
      <c r="I43" s="23" t="s">
        <v>12</v>
      </c>
      <c r="J43" s="7" t="s">
        <v>20</v>
      </c>
      <c r="K43" s="23" t="s">
        <v>20</v>
      </c>
      <c r="L43" s="23">
        <v>12</v>
      </c>
      <c r="M43" s="23" t="s">
        <v>12</v>
      </c>
      <c r="N43" s="8" t="s">
        <v>13</v>
      </c>
      <c r="O43" s="7" t="s">
        <v>13</v>
      </c>
      <c r="P43" s="6" t="s">
        <v>23</v>
      </c>
      <c r="Q43" s="7" t="s">
        <v>20</v>
      </c>
      <c r="R43" s="6" t="s">
        <v>20</v>
      </c>
      <c r="S43" s="23" t="s">
        <v>294</v>
      </c>
      <c r="T43" s="24" t="s">
        <v>288</v>
      </c>
    </row>
    <row r="44" spans="1:20" x14ac:dyDescent="0.3">
      <c r="A44" s="17">
        <v>43</v>
      </c>
      <c r="B44" s="6" t="s">
        <v>301</v>
      </c>
      <c r="C44" s="6" t="s">
        <v>258</v>
      </c>
      <c r="D44" s="7">
        <v>329.15</v>
      </c>
      <c r="E44" s="23" t="s">
        <v>11</v>
      </c>
      <c r="F44" s="23">
        <v>261.82</v>
      </c>
      <c r="G44" s="23" t="s">
        <v>11</v>
      </c>
      <c r="H44" s="7">
        <v>20</v>
      </c>
      <c r="I44" s="23" t="s">
        <v>12</v>
      </c>
      <c r="J44" s="7" t="s">
        <v>20</v>
      </c>
      <c r="K44" s="23" t="s">
        <v>20</v>
      </c>
      <c r="L44" s="23">
        <v>20</v>
      </c>
      <c r="M44" s="23" t="s">
        <v>12</v>
      </c>
      <c r="N44" s="8" t="s">
        <v>13</v>
      </c>
      <c r="O44" s="7">
        <v>37</v>
      </c>
      <c r="P44" s="6" t="s">
        <v>23</v>
      </c>
      <c r="Q44" s="7" t="s">
        <v>20</v>
      </c>
      <c r="R44" s="6" t="s">
        <v>20</v>
      </c>
      <c r="S44" s="23" t="s">
        <v>52</v>
      </c>
      <c r="T44" s="24" t="s">
        <v>288</v>
      </c>
    </row>
    <row r="45" spans="1:20" x14ac:dyDescent="0.3">
      <c r="A45" s="17">
        <v>44</v>
      </c>
      <c r="B45" s="6" t="s">
        <v>302</v>
      </c>
      <c r="C45" s="6" t="s">
        <v>258</v>
      </c>
      <c r="D45" s="7" t="s">
        <v>13</v>
      </c>
      <c r="E45" s="23" t="s">
        <v>20</v>
      </c>
      <c r="F45" s="23">
        <v>261.82</v>
      </c>
      <c r="G45" s="23" t="s">
        <v>11</v>
      </c>
      <c r="H45" s="7">
        <v>15</v>
      </c>
      <c r="I45" s="23" t="s">
        <v>12</v>
      </c>
      <c r="J45" s="7" t="s">
        <v>20</v>
      </c>
      <c r="K45" s="23" t="s">
        <v>20</v>
      </c>
      <c r="L45" s="23">
        <v>15</v>
      </c>
      <c r="M45" s="23" t="s">
        <v>12</v>
      </c>
      <c r="N45" s="8" t="s">
        <v>13</v>
      </c>
      <c r="O45" s="7">
        <v>84</v>
      </c>
      <c r="P45" s="6" t="s">
        <v>23</v>
      </c>
      <c r="Q45" s="7" t="s">
        <v>20</v>
      </c>
      <c r="R45" s="6" t="s">
        <v>20</v>
      </c>
      <c r="S45" s="23" t="s">
        <v>61</v>
      </c>
      <c r="T45" s="24" t="s">
        <v>303</v>
      </c>
    </row>
    <row r="46" spans="1:20" x14ac:dyDescent="0.3">
      <c r="A46" s="17">
        <v>45</v>
      </c>
      <c r="B46" s="6" t="s">
        <v>304</v>
      </c>
      <c r="C46" s="6" t="s">
        <v>258</v>
      </c>
      <c r="D46" s="7">
        <v>365.71999999999997</v>
      </c>
      <c r="E46" s="23" t="s">
        <v>11</v>
      </c>
      <c r="F46" s="23">
        <v>261.82</v>
      </c>
      <c r="G46" s="23" t="s">
        <v>11</v>
      </c>
      <c r="H46" s="7">
        <v>10</v>
      </c>
      <c r="I46" s="23" t="s">
        <v>12</v>
      </c>
      <c r="J46" s="7" t="s">
        <v>20</v>
      </c>
      <c r="K46" s="23" t="s">
        <v>20</v>
      </c>
      <c r="L46" s="23">
        <v>10</v>
      </c>
      <c r="M46" s="23" t="s">
        <v>12</v>
      </c>
      <c r="N46" s="8">
        <v>0.875</v>
      </c>
      <c r="O46" s="7" t="s">
        <v>13</v>
      </c>
      <c r="P46" s="6" t="s">
        <v>23</v>
      </c>
      <c r="Q46" s="7" t="s">
        <v>20</v>
      </c>
      <c r="R46" s="6" t="s">
        <v>20</v>
      </c>
      <c r="S46" s="23" t="s">
        <v>61</v>
      </c>
      <c r="T46" s="24" t="s">
        <v>288</v>
      </c>
    </row>
    <row r="47" spans="1:20" x14ac:dyDescent="0.3">
      <c r="A47" s="17">
        <v>46</v>
      </c>
      <c r="B47" s="6" t="s">
        <v>305</v>
      </c>
      <c r="C47" s="6" t="s">
        <v>258</v>
      </c>
      <c r="D47" s="7" t="s">
        <v>13</v>
      </c>
      <c r="E47" s="23" t="s">
        <v>20</v>
      </c>
      <c r="F47" s="23">
        <v>201.97</v>
      </c>
      <c r="G47" s="23" t="s">
        <v>11</v>
      </c>
      <c r="H47" s="7">
        <v>3</v>
      </c>
      <c r="I47" s="23" t="s">
        <v>12</v>
      </c>
      <c r="J47" s="7" t="s">
        <v>20</v>
      </c>
      <c r="K47" s="23" t="s">
        <v>20</v>
      </c>
      <c r="L47" s="23">
        <v>3</v>
      </c>
      <c r="M47" s="23" t="s">
        <v>12</v>
      </c>
      <c r="N47" s="8" t="s">
        <v>13</v>
      </c>
      <c r="O47" s="7" t="s">
        <v>13</v>
      </c>
      <c r="P47" s="6" t="s">
        <v>23</v>
      </c>
      <c r="Q47" s="7" t="s">
        <v>20</v>
      </c>
      <c r="R47" s="6" t="s">
        <v>20</v>
      </c>
      <c r="S47" s="23" t="s">
        <v>41</v>
      </c>
      <c r="T47" s="24" t="s">
        <v>303</v>
      </c>
    </row>
    <row r="48" spans="1:20" x14ac:dyDescent="0.3">
      <c r="A48" s="17">
        <v>47</v>
      </c>
      <c r="B48" s="6" t="s">
        <v>306</v>
      </c>
      <c r="C48" s="6" t="s">
        <v>258</v>
      </c>
      <c r="D48" s="7">
        <v>233.01</v>
      </c>
      <c r="E48" s="23" t="s">
        <v>11</v>
      </c>
      <c r="F48" s="23">
        <v>187.01</v>
      </c>
      <c r="G48" s="23" t="s">
        <v>11</v>
      </c>
      <c r="H48" s="7">
        <v>15</v>
      </c>
      <c r="I48" s="23" t="s">
        <v>12</v>
      </c>
      <c r="J48" s="7" t="s">
        <v>20</v>
      </c>
      <c r="K48" s="23" t="s">
        <v>20</v>
      </c>
      <c r="L48" s="23">
        <v>15</v>
      </c>
      <c r="M48" s="23" t="s">
        <v>12</v>
      </c>
      <c r="N48" s="8" t="s">
        <v>13</v>
      </c>
      <c r="O48" s="7">
        <v>44</v>
      </c>
      <c r="P48" s="6" t="s">
        <v>23</v>
      </c>
      <c r="Q48" s="7" t="s">
        <v>20</v>
      </c>
      <c r="R48" s="6" t="s">
        <v>20</v>
      </c>
      <c r="S48" s="23" t="s">
        <v>52</v>
      </c>
      <c r="T48" s="24" t="s">
        <v>307</v>
      </c>
    </row>
    <row r="49" spans="1:20" x14ac:dyDescent="0.3">
      <c r="A49" s="17">
        <v>48</v>
      </c>
      <c r="B49" s="6" t="s">
        <v>308</v>
      </c>
      <c r="C49" s="6" t="s">
        <v>258</v>
      </c>
      <c r="D49" s="7">
        <v>252.62</v>
      </c>
      <c r="E49" s="23" t="s">
        <v>11</v>
      </c>
      <c r="F49" s="23">
        <v>187.01</v>
      </c>
      <c r="G49" s="23" t="s">
        <v>11</v>
      </c>
      <c r="H49" s="7">
        <v>7</v>
      </c>
      <c r="I49" s="23" t="s">
        <v>12</v>
      </c>
      <c r="J49" s="7" t="s">
        <v>20</v>
      </c>
      <c r="K49" s="23" t="s">
        <v>20</v>
      </c>
      <c r="L49" s="23">
        <v>7</v>
      </c>
      <c r="M49" s="23" t="s">
        <v>12</v>
      </c>
      <c r="N49" s="8" t="s">
        <v>13</v>
      </c>
      <c r="O49" s="7">
        <v>36</v>
      </c>
      <c r="P49" s="6" t="s">
        <v>23</v>
      </c>
      <c r="Q49" s="7" t="s">
        <v>20</v>
      </c>
      <c r="R49" s="6" t="s">
        <v>20</v>
      </c>
      <c r="S49" s="23" t="s">
        <v>52</v>
      </c>
      <c r="T49" s="24" t="s">
        <v>288</v>
      </c>
    </row>
    <row r="50" spans="1:20" x14ac:dyDescent="0.3">
      <c r="A50" s="17">
        <v>49</v>
      </c>
      <c r="B50" s="6" t="s">
        <v>309</v>
      </c>
      <c r="C50" s="6" t="s">
        <v>258</v>
      </c>
      <c r="D50" s="7" t="s">
        <v>13</v>
      </c>
      <c r="E50" s="23" t="s">
        <v>20</v>
      </c>
      <c r="F50" s="23">
        <v>187.01</v>
      </c>
      <c r="G50" s="23" t="s">
        <v>11</v>
      </c>
      <c r="H50" s="7">
        <v>5</v>
      </c>
      <c r="I50" s="23" t="s">
        <v>12</v>
      </c>
      <c r="J50" s="7" t="s">
        <v>20</v>
      </c>
      <c r="K50" s="23" t="s">
        <v>20</v>
      </c>
      <c r="L50" s="23">
        <v>5</v>
      </c>
      <c r="M50" s="23" t="s">
        <v>12</v>
      </c>
      <c r="N50" s="8" t="s">
        <v>13</v>
      </c>
      <c r="O50" s="7" t="s">
        <v>13</v>
      </c>
      <c r="P50" s="6" t="s">
        <v>23</v>
      </c>
      <c r="Q50" s="7" t="s">
        <v>20</v>
      </c>
      <c r="R50" s="6" t="s">
        <v>20</v>
      </c>
      <c r="S50" s="23" t="s">
        <v>41</v>
      </c>
      <c r="T50" s="24" t="s">
        <v>288</v>
      </c>
    </row>
    <row r="51" spans="1:20" x14ac:dyDescent="0.3">
      <c r="A51" s="17">
        <v>50</v>
      </c>
      <c r="B51" s="6" t="s">
        <v>310</v>
      </c>
      <c r="C51" s="6" t="s">
        <v>258</v>
      </c>
      <c r="D51" s="7" t="s">
        <v>13</v>
      </c>
      <c r="E51" s="23" t="s">
        <v>20</v>
      </c>
      <c r="F51" s="23">
        <v>149.61000000000001</v>
      </c>
      <c r="G51" s="23" t="s">
        <v>11</v>
      </c>
      <c r="H51" s="7">
        <v>5</v>
      </c>
      <c r="I51" s="23" t="s">
        <v>12</v>
      </c>
      <c r="J51" s="7" t="s">
        <v>20</v>
      </c>
      <c r="K51" s="23" t="s">
        <v>20</v>
      </c>
      <c r="L51" s="23">
        <v>5</v>
      </c>
      <c r="M51" s="23" t="s">
        <v>12</v>
      </c>
      <c r="N51" s="8" t="s">
        <v>13</v>
      </c>
      <c r="O51" s="7" t="s">
        <v>13</v>
      </c>
      <c r="P51" s="6" t="s">
        <v>23</v>
      </c>
      <c r="Q51" s="7" t="s">
        <v>20</v>
      </c>
      <c r="R51" s="6" t="s">
        <v>20</v>
      </c>
      <c r="S51" s="23" t="s">
        <v>61</v>
      </c>
      <c r="T51" s="24" t="s">
        <v>311</v>
      </c>
    </row>
    <row r="52" spans="1:20" x14ac:dyDescent="0.3">
      <c r="A52" s="17">
        <v>51</v>
      </c>
      <c r="B52" s="6" t="s">
        <v>312</v>
      </c>
      <c r="C52" s="6" t="s">
        <v>258</v>
      </c>
      <c r="D52" s="7" t="s">
        <v>13</v>
      </c>
      <c r="E52" s="23" t="s">
        <v>20</v>
      </c>
      <c r="F52" s="23">
        <v>149.61000000000001</v>
      </c>
      <c r="G52" s="23" t="s">
        <v>11</v>
      </c>
      <c r="H52" s="7">
        <v>2</v>
      </c>
      <c r="I52" s="23" t="s">
        <v>12</v>
      </c>
      <c r="J52" s="7" t="s">
        <v>20</v>
      </c>
      <c r="K52" s="23" t="s">
        <v>20</v>
      </c>
      <c r="L52" s="23">
        <v>2</v>
      </c>
      <c r="M52" s="23" t="s">
        <v>12</v>
      </c>
      <c r="N52" s="8" t="s">
        <v>13</v>
      </c>
      <c r="O52" s="7" t="s">
        <v>13</v>
      </c>
      <c r="P52" s="6" t="s">
        <v>23</v>
      </c>
      <c r="Q52" s="7" t="s">
        <v>20</v>
      </c>
      <c r="R52" s="6" t="s">
        <v>20</v>
      </c>
      <c r="S52" s="23" t="s">
        <v>61</v>
      </c>
      <c r="T52" s="24" t="s">
        <v>288</v>
      </c>
    </row>
    <row r="53" spans="1:20" x14ac:dyDescent="0.3">
      <c r="A53" s="17">
        <v>52</v>
      </c>
      <c r="B53" s="6" t="s">
        <v>313</v>
      </c>
      <c r="C53" s="6" t="s">
        <v>258</v>
      </c>
      <c r="D53" s="7">
        <v>174.54999999999998</v>
      </c>
      <c r="E53" s="23" t="s">
        <v>11</v>
      </c>
      <c r="F53" s="23">
        <v>134.65</v>
      </c>
      <c r="G53" s="23" t="s">
        <v>11</v>
      </c>
      <c r="H53" s="7">
        <v>5</v>
      </c>
      <c r="I53" s="23" t="s">
        <v>12</v>
      </c>
      <c r="J53" s="7" t="s">
        <v>20</v>
      </c>
      <c r="K53" s="23" t="s">
        <v>20</v>
      </c>
      <c r="L53" s="23">
        <v>5</v>
      </c>
      <c r="M53" s="23" t="s">
        <v>12</v>
      </c>
      <c r="N53" s="8" t="s">
        <v>13</v>
      </c>
      <c r="O53" s="7" t="s">
        <v>13</v>
      </c>
      <c r="P53" s="6" t="s">
        <v>23</v>
      </c>
      <c r="Q53" s="7" t="s">
        <v>20</v>
      </c>
      <c r="R53" s="6" t="s">
        <v>20</v>
      </c>
      <c r="S53" s="23" t="s">
        <v>61</v>
      </c>
      <c r="T53" s="24" t="s">
        <v>307</v>
      </c>
    </row>
    <row r="54" spans="1:20" x14ac:dyDescent="0.3">
      <c r="A54" s="17">
        <v>53</v>
      </c>
      <c r="B54" s="6" t="s">
        <v>314</v>
      </c>
      <c r="C54" s="6" t="s">
        <v>258</v>
      </c>
      <c r="D54" s="7">
        <v>180.78</v>
      </c>
      <c r="E54" s="23" t="s">
        <v>11</v>
      </c>
      <c r="F54" s="23">
        <v>134.65</v>
      </c>
      <c r="G54" s="23" t="s">
        <v>11</v>
      </c>
      <c r="H54" s="7">
        <v>10</v>
      </c>
      <c r="I54" s="23" t="s">
        <v>12</v>
      </c>
      <c r="J54" s="7" t="s">
        <v>20</v>
      </c>
      <c r="K54" s="23" t="s">
        <v>20</v>
      </c>
      <c r="L54" s="23">
        <v>10</v>
      </c>
      <c r="M54" s="23" t="s">
        <v>12</v>
      </c>
      <c r="N54" s="8">
        <v>0.89870000000000005</v>
      </c>
      <c r="O54" s="7" t="s">
        <v>13</v>
      </c>
      <c r="P54" s="6" t="s">
        <v>23</v>
      </c>
      <c r="Q54" s="7" t="s">
        <v>20</v>
      </c>
      <c r="R54" s="6" t="s">
        <v>20</v>
      </c>
      <c r="S54" s="23" t="s">
        <v>61</v>
      </c>
      <c r="T54" s="24" t="s">
        <v>307</v>
      </c>
    </row>
    <row r="55" spans="1:20" x14ac:dyDescent="0.3">
      <c r="A55" s="17">
        <v>54</v>
      </c>
      <c r="B55" s="6" t="s">
        <v>315</v>
      </c>
      <c r="C55" s="6" t="s">
        <v>258</v>
      </c>
      <c r="D55" s="7">
        <v>150.64999999999998</v>
      </c>
      <c r="E55" s="23" t="s">
        <v>11</v>
      </c>
      <c r="F55" s="23">
        <v>112.21</v>
      </c>
      <c r="G55" s="23" t="s">
        <v>11</v>
      </c>
      <c r="H55" s="7">
        <v>10</v>
      </c>
      <c r="I55" s="23" t="s">
        <v>12</v>
      </c>
      <c r="J55" s="7" t="s">
        <v>20</v>
      </c>
      <c r="K55" s="23" t="s">
        <v>20</v>
      </c>
      <c r="L55" s="23">
        <v>10</v>
      </c>
      <c r="M55" s="23" t="s">
        <v>12</v>
      </c>
      <c r="N55" s="8" t="s">
        <v>13</v>
      </c>
      <c r="O55" s="7">
        <v>46</v>
      </c>
      <c r="P55" s="6" t="s">
        <v>23</v>
      </c>
      <c r="Q55" s="7" t="s">
        <v>20</v>
      </c>
      <c r="R55" s="6" t="s">
        <v>20</v>
      </c>
      <c r="S55" s="23" t="s">
        <v>52</v>
      </c>
      <c r="T55" s="24" t="s">
        <v>288</v>
      </c>
    </row>
    <row r="56" spans="1:20" x14ac:dyDescent="0.3">
      <c r="A56" s="17">
        <v>55</v>
      </c>
      <c r="B56" s="6" t="s">
        <v>316</v>
      </c>
      <c r="C56" s="6" t="s">
        <v>258</v>
      </c>
      <c r="D56" s="7">
        <v>150.42999999999998</v>
      </c>
      <c r="E56" s="23" t="s">
        <v>11</v>
      </c>
      <c r="F56" s="23">
        <v>112.21</v>
      </c>
      <c r="G56" s="23" t="s">
        <v>11</v>
      </c>
      <c r="H56" s="7">
        <v>5</v>
      </c>
      <c r="I56" s="23" t="s">
        <v>12</v>
      </c>
      <c r="J56" s="7" t="s">
        <v>20</v>
      </c>
      <c r="K56" s="23" t="s">
        <v>20</v>
      </c>
      <c r="L56" s="23">
        <v>5</v>
      </c>
      <c r="M56" s="23" t="s">
        <v>12</v>
      </c>
      <c r="N56" s="8" t="s">
        <v>13</v>
      </c>
      <c r="O56" s="7" t="s">
        <v>13</v>
      </c>
      <c r="P56" s="6" t="s">
        <v>23</v>
      </c>
      <c r="Q56" s="7" t="s">
        <v>20</v>
      </c>
      <c r="R56" s="6" t="s">
        <v>20</v>
      </c>
      <c r="S56" s="23" t="s">
        <v>52</v>
      </c>
      <c r="T56" s="24" t="s">
        <v>288</v>
      </c>
    </row>
    <row r="57" spans="1:20" x14ac:dyDescent="0.3">
      <c r="A57" s="17">
        <v>56</v>
      </c>
      <c r="B57" s="6" t="s">
        <v>261</v>
      </c>
      <c r="C57" s="6" t="s">
        <v>258</v>
      </c>
      <c r="D57" s="7">
        <v>107.23</v>
      </c>
      <c r="E57" s="23" t="s">
        <v>11</v>
      </c>
      <c r="F57" s="23">
        <v>74.81</v>
      </c>
      <c r="G57" s="23" t="s">
        <v>11</v>
      </c>
      <c r="H57" s="7">
        <v>5</v>
      </c>
      <c r="I57" s="23" t="s">
        <v>12</v>
      </c>
      <c r="J57" s="7" t="s">
        <v>20</v>
      </c>
      <c r="K57" s="23" t="s">
        <v>20</v>
      </c>
      <c r="L57" s="23">
        <v>5</v>
      </c>
      <c r="M57" s="23" t="s">
        <v>12</v>
      </c>
      <c r="N57" s="8" t="s">
        <v>13</v>
      </c>
      <c r="O57" s="7" t="s">
        <v>13</v>
      </c>
      <c r="P57" s="6" t="s">
        <v>23</v>
      </c>
      <c r="Q57" s="7" t="s">
        <v>20</v>
      </c>
      <c r="R57" s="6" t="s">
        <v>20</v>
      </c>
      <c r="S57" s="23" t="s">
        <v>52</v>
      </c>
      <c r="T57" s="24" t="s">
        <v>307</v>
      </c>
    </row>
    <row r="58" spans="1:20" x14ac:dyDescent="0.3">
      <c r="A58" s="17">
        <v>57</v>
      </c>
      <c r="B58" s="6" t="s">
        <v>317</v>
      </c>
      <c r="C58" s="6" t="s">
        <v>258</v>
      </c>
      <c r="D58" s="7">
        <v>56.15</v>
      </c>
      <c r="E58" s="23" t="s">
        <v>11</v>
      </c>
      <c r="F58" s="23">
        <v>37.4</v>
      </c>
      <c r="G58" s="23" t="s">
        <v>11</v>
      </c>
      <c r="H58" s="7">
        <v>3</v>
      </c>
      <c r="I58" s="23" t="s">
        <v>12</v>
      </c>
      <c r="J58" s="7" t="s">
        <v>20</v>
      </c>
      <c r="K58" s="23" t="s">
        <v>20</v>
      </c>
      <c r="L58" s="23">
        <v>3</v>
      </c>
      <c r="M58" s="23" t="s">
        <v>12</v>
      </c>
      <c r="N58" s="8" t="s">
        <v>13</v>
      </c>
      <c r="O58" s="7" t="s">
        <v>13</v>
      </c>
      <c r="P58" s="6" t="s">
        <v>23</v>
      </c>
      <c r="Q58" s="7" t="s">
        <v>20</v>
      </c>
      <c r="R58" s="6" t="s">
        <v>20</v>
      </c>
      <c r="S58" s="23" t="s">
        <v>52</v>
      </c>
      <c r="T58" s="24" t="s">
        <v>288</v>
      </c>
    </row>
    <row r="59" spans="1:20" x14ac:dyDescent="0.3">
      <c r="A59" s="17">
        <v>58</v>
      </c>
      <c r="B59" s="6" t="s">
        <v>318</v>
      </c>
      <c r="C59" s="6" t="s">
        <v>258</v>
      </c>
      <c r="D59" s="7">
        <v>58.73</v>
      </c>
      <c r="E59" s="23" t="s">
        <v>11</v>
      </c>
      <c r="F59" s="23">
        <v>37.4</v>
      </c>
      <c r="G59" s="23" t="s">
        <v>11</v>
      </c>
      <c r="H59" s="7">
        <v>5</v>
      </c>
      <c r="I59" s="23" t="s">
        <v>12</v>
      </c>
      <c r="J59" s="7" t="s">
        <v>20</v>
      </c>
      <c r="K59" s="23" t="s">
        <v>20</v>
      </c>
      <c r="L59" s="23">
        <v>5</v>
      </c>
      <c r="M59" s="23" t="s">
        <v>12</v>
      </c>
      <c r="N59" s="8">
        <v>0.878</v>
      </c>
      <c r="O59" s="7" t="s">
        <v>13</v>
      </c>
      <c r="P59" s="6" t="s">
        <v>23</v>
      </c>
      <c r="Q59" s="7" t="s">
        <v>20</v>
      </c>
      <c r="R59" s="6" t="s">
        <v>20</v>
      </c>
      <c r="S59" s="23" t="s">
        <v>44</v>
      </c>
      <c r="T59" s="24" t="s">
        <v>303</v>
      </c>
    </row>
    <row r="60" spans="1:20" x14ac:dyDescent="0.3">
      <c r="A60" s="17">
        <v>59</v>
      </c>
      <c r="B60" s="6" t="s">
        <v>319</v>
      </c>
      <c r="C60" s="6" t="s">
        <v>258</v>
      </c>
      <c r="D60" s="7">
        <v>28.69</v>
      </c>
      <c r="E60" s="23" t="s">
        <v>11</v>
      </c>
      <c r="F60" s="23">
        <v>18.7</v>
      </c>
      <c r="G60" s="23" t="s">
        <v>11</v>
      </c>
      <c r="H60" s="7">
        <v>1.5</v>
      </c>
      <c r="I60" s="23" t="s">
        <v>12</v>
      </c>
      <c r="J60" s="7" t="s">
        <v>20</v>
      </c>
      <c r="K60" s="23" t="s">
        <v>20</v>
      </c>
      <c r="L60" s="23">
        <v>1.5</v>
      </c>
      <c r="M60" s="23" t="s">
        <v>12</v>
      </c>
      <c r="N60" s="8" t="s">
        <v>13</v>
      </c>
      <c r="O60" s="7">
        <v>52</v>
      </c>
      <c r="P60" s="6" t="s">
        <v>23</v>
      </c>
      <c r="Q60" s="7" t="s">
        <v>20</v>
      </c>
      <c r="R60" s="6" t="s">
        <v>20</v>
      </c>
      <c r="S60" s="23" t="s">
        <v>52</v>
      </c>
      <c r="T60" s="24" t="s">
        <v>288</v>
      </c>
    </row>
    <row r="61" spans="1:20" x14ac:dyDescent="0.3">
      <c r="A61" s="17">
        <v>60</v>
      </c>
      <c r="B61" s="6" t="s">
        <v>320</v>
      </c>
      <c r="C61" s="6" t="s">
        <v>258</v>
      </c>
      <c r="D61" s="7">
        <v>28.37</v>
      </c>
      <c r="E61" s="23" t="s">
        <v>11</v>
      </c>
      <c r="F61" s="23">
        <v>18.7</v>
      </c>
      <c r="G61" s="23" t="s">
        <v>11</v>
      </c>
      <c r="H61" s="7">
        <v>2</v>
      </c>
      <c r="I61" s="23" t="s">
        <v>12</v>
      </c>
      <c r="J61" s="7" t="s">
        <v>20</v>
      </c>
      <c r="K61" s="23" t="s">
        <v>20</v>
      </c>
      <c r="L61" s="23">
        <v>2</v>
      </c>
      <c r="M61" s="23" t="s">
        <v>12</v>
      </c>
      <c r="N61" s="8" t="s">
        <v>13</v>
      </c>
      <c r="O61" s="7">
        <v>58</v>
      </c>
      <c r="P61" s="6" t="s">
        <v>23</v>
      </c>
      <c r="Q61" s="7" t="s">
        <v>20</v>
      </c>
      <c r="R61" s="6" t="s">
        <v>20</v>
      </c>
      <c r="S61" s="23" t="s">
        <v>321</v>
      </c>
      <c r="T61" s="24" t="s">
        <v>288</v>
      </c>
    </row>
    <row r="62" spans="1:20" x14ac:dyDescent="0.3">
      <c r="A62" s="17">
        <v>61</v>
      </c>
      <c r="B62" s="6" t="s">
        <v>322</v>
      </c>
      <c r="C62" s="6" t="s">
        <v>258</v>
      </c>
      <c r="D62" s="7">
        <v>11.15</v>
      </c>
      <c r="E62" s="23" t="s">
        <v>11</v>
      </c>
      <c r="F62" s="23">
        <v>7.48</v>
      </c>
      <c r="G62" s="23" t="s">
        <v>11</v>
      </c>
      <c r="H62" s="7">
        <v>1</v>
      </c>
      <c r="I62" s="23" t="s">
        <v>12</v>
      </c>
      <c r="J62" s="7" t="s">
        <v>20</v>
      </c>
      <c r="K62" s="23" t="s">
        <v>20</v>
      </c>
      <c r="L62" s="23">
        <v>1</v>
      </c>
      <c r="M62" s="23" t="s">
        <v>12</v>
      </c>
      <c r="N62" s="8" t="s">
        <v>13</v>
      </c>
      <c r="O62" s="7">
        <v>58</v>
      </c>
      <c r="P62" s="6" t="s">
        <v>23</v>
      </c>
      <c r="Q62" s="7" t="s">
        <v>20</v>
      </c>
      <c r="R62" s="6" t="s">
        <v>20</v>
      </c>
      <c r="S62" s="23" t="s">
        <v>52</v>
      </c>
      <c r="T62" s="24" t="s">
        <v>288</v>
      </c>
    </row>
    <row r="63" spans="1:20" x14ac:dyDescent="0.3">
      <c r="A63" s="17">
        <v>62</v>
      </c>
      <c r="B63" s="6" t="s">
        <v>323</v>
      </c>
      <c r="C63" s="6" t="s">
        <v>263</v>
      </c>
      <c r="D63" s="7">
        <v>13.209999999999999</v>
      </c>
      <c r="E63" s="23" t="s">
        <v>11</v>
      </c>
      <c r="F63" s="23">
        <v>7.93</v>
      </c>
      <c r="G63" s="23" t="s">
        <v>11</v>
      </c>
      <c r="H63" s="7">
        <v>2.2599999999999998</v>
      </c>
      <c r="I63" s="23" t="s">
        <v>12</v>
      </c>
      <c r="J63" s="7" t="s">
        <v>20</v>
      </c>
      <c r="K63" s="23" t="s">
        <v>20</v>
      </c>
      <c r="L63" s="23">
        <v>2.2599999999999998</v>
      </c>
      <c r="M63" s="23" t="s">
        <v>12</v>
      </c>
      <c r="N63" s="8" t="s">
        <v>13</v>
      </c>
      <c r="O63" s="7">
        <v>117</v>
      </c>
      <c r="P63" s="6" t="s">
        <v>23</v>
      </c>
      <c r="Q63" s="7" t="s">
        <v>20</v>
      </c>
      <c r="R63" s="6" t="s">
        <v>20</v>
      </c>
      <c r="S63" s="23" t="s">
        <v>13</v>
      </c>
      <c r="T63" s="24" t="s">
        <v>324</v>
      </c>
    </row>
    <row r="64" spans="1:20" x14ac:dyDescent="0.3">
      <c r="A64" s="17">
        <v>63</v>
      </c>
      <c r="B64" s="6" t="s">
        <v>325</v>
      </c>
      <c r="C64" s="6" t="s">
        <v>263</v>
      </c>
      <c r="D64" s="7">
        <v>26.42</v>
      </c>
      <c r="E64" s="23" t="s">
        <v>11</v>
      </c>
      <c r="F64" s="23">
        <v>15.86</v>
      </c>
      <c r="G64" s="23" t="s">
        <v>11</v>
      </c>
      <c r="H64" s="7">
        <v>2.2599999999999998</v>
      </c>
      <c r="I64" s="23" t="s">
        <v>12</v>
      </c>
      <c r="J64" s="7" t="s">
        <v>20</v>
      </c>
      <c r="K64" s="23" t="s">
        <v>20</v>
      </c>
      <c r="L64" s="23">
        <v>2.2599999999999998</v>
      </c>
      <c r="M64" s="23" t="s">
        <v>12</v>
      </c>
      <c r="N64" s="8" t="s">
        <v>13</v>
      </c>
      <c r="O64" s="7">
        <v>117</v>
      </c>
      <c r="P64" s="6" t="s">
        <v>23</v>
      </c>
      <c r="Q64" s="7" t="s">
        <v>20</v>
      </c>
      <c r="R64" s="6" t="s">
        <v>20</v>
      </c>
      <c r="S64" s="23" t="s">
        <v>13</v>
      </c>
      <c r="T64" s="24" t="s">
        <v>324</v>
      </c>
    </row>
    <row r="65" spans="1:20" x14ac:dyDescent="0.3">
      <c r="A65" s="17">
        <v>64</v>
      </c>
      <c r="B65" s="6" t="s">
        <v>326</v>
      </c>
      <c r="C65" s="6" t="s">
        <v>263</v>
      </c>
      <c r="D65" s="7">
        <v>52.839999999999996</v>
      </c>
      <c r="E65" s="23" t="s">
        <v>11</v>
      </c>
      <c r="F65" s="23">
        <v>31.71</v>
      </c>
      <c r="G65" s="23" t="s">
        <v>11</v>
      </c>
      <c r="H65" s="7">
        <v>3.4499999999999997</v>
      </c>
      <c r="I65" s="23" t="s">
        <v>12</v>
      </c>
      <c r="J65" s="7" t="s">
        <v>20</v>
      </c>
      <c r="K65" s="23" t="s">
        <v>20</v>
      </c>
      <c r="L65" s="23">
        <v>3.4499999999999997</v>
      </c>
      <c r="M65" s="23" t="s">
        <v>12</v>
      </c>
      <c r="N65" s="8" t="s">
        <v>13</v>
      </c>
      <c r="O65" s="7">
        <v>140</v>
      </c>
      <c r="P65" s="6" t="s">
        <v>23</v>
      </c>
      <c r="Q65" s="7" t="s">
        <v>20</v>
      </c>
      <c r="R65" s="6" t="s">
        <v>20</v>
      </c>
      <c r="S65" s="23" t="s">
        <v>13</v>
      </c>
      <c r="T65" s="24" t="s">
        <v>324</v>
      </c>
    </row>
    <row r="66" spans="1:20" x14ac:dyDescent="0.3">
      <c r="A66" s="17">
        <v>65</v>
      </c>
      <c r="B66" s="6" t="s">
        <v>327</v>
      </c>
      <c r="C66" s="6" t="s">
        <v>263</v>
      </c>
      <c r="D66" s="7">
        <v>79.260000000000005</v>
      </c>
      <c r="E66" s="23" t="s">
        <v>11</v>
      </c>
      <c r="F66" s="23">
        <v>47.559999999999995</v>
      </c>
      <c r="G66" s="23" t="s">
        <v>11</v>
      </c>
      <c r="H66" s="7">
        <v>3.4499999999999997</v>
      </c>
      <c r="I66" s="23" t="s">
        <v>12</v>
      </c>
      <c r="J66" s="7" t="s">
        <v>20</v>
      </c>
      <c r="K66" s="23" t="s">
        <v>20</v>
      </c>
      <c r="L66" s="23">
        <v>3.4499999999999997</v>
      </c>
      <c r="M66" s="23" t="s">
        <v>12</v>
      </c>
      <c r="N66" s="8" t="s">
        <v>13</v>
      </c>
      <c r="O66" s="7">
        <v>140</v>
      </c>
      <c r="P66" s="6" t="s">
        <v>23</v>
      </c>
      <c r="Q66" s="7" t="s">
        <v>20</v>
      </c>
      <c r="R66" s="6" t="s">
        <v>20</v>
      </c>
      <c r="S66" s="23" t="s">
        <v>13</v>
      </c>
      <c r="T66" s="24" t="s">
        <v>324</v>
      </c>
    </row>
    <row r="67" spans="1:20" x14ac:dyDescent="0.3">
      <c r="A67" s="17">
        <v>66</v>
      </c>
      <c r="B67" s="6" t="s">
        <v>328</v>
      </c>
      <c r="C67" s="6" t="s">
        <v>263</v>
      </c>
      <c r="D67" s="7">
        <v>132.09</v>
      </c>
      <c r="E67" s="23" t="s">
        <v>11</v>
      </c>
      <c r="F67" s="23">
        <v>79.260000000000005</v>
      </c>
      <c r="G67" s="23" t="s">
        <v>11</v>
      </c>
      <c r="H67" s="7">
        <v>4.5199999999999996</v>
      </c>
      <c r="I67" s="23" t="s">
        <v>12</v>
      </c>
      <c r="J67" s="7" t="s">
        <v>20</v>
      </c>
      <c r="K67" s="23" t="s">
        <v>20</v>
      </c>
      <c r="L67" s="23">
        <v>4.5199999999999996</v>
      </c>
      <c r="M67" s="23" t="s">
        <v>12</v>
      </c>
      <c r="N67" s="8" t="s">
        <v>13</v>
      </c>
      <c r="O67" s="7">
        <v>140</v>
      </c>
      <c r="P67" s="6" t="s">
        <v>23</v>
      </c>
      <c r="Q67" s="7" t="s">
        <v>20</v>
      </c>
      <c r="R67" s="6" t="s">
        <v>20</v>
      </c>
      <c r="S67" s="23" t="s">
        <v>13</v>
      </c>
      <c r="T67" s="24" t="s">
        <v>324</v>
      </c>
    </row>
    <row r="68" spans="1:20" x14ac:dyDescent="0.3">
      <c r="A68" s="17">
        <v>67</v>
      </c>
      <c r="B68" s="6" t="s">
        <v>329</v>
      </c>
      <c r="C68" s="6" t="s">
        <v>263</v>
      </c>
      <c r="D68" s="7">
        <v>211.34</v>
      </c>
      <c r="E68" s="23" t="s">
        <v>11</v>
      </c>
      <c r="F68" s="23">
        <v>126.81</v>
      </c>
      <c r="G68" s="23" t="s">
        <v>11</v>
      </c>
      <c r="H68" s="7">
        <v>6.1099999999999994</v>
      </c>
      <c r="I68" s="23" t="s">
        <v>12</v>
      </c>
      <c r="J68" s="7" t="s">
        <v>20</v>
      </c>
      <c r="K68" s="23" t="s">
        <v>20</v>
      </c>
      <c r="L68" s="23">
        <v>6.1099999999999994</v>
      </c>
      <c r="M68" s="23" t="s">
        <v>12</v>
      </c>
      <c r="N68" s="8" t="s">
        <v>13</v>
      </c>
      <c r="O68" s="7">
        <v>60</v>
      </c>
      <c r="P68" s="6" t="s">
        <v>23</v>
      </c>
      <c r="Q68" s="7" t="s">
        <v>20</v>
      </c>
      <c r="R68" s="6" t="s">
        <v>20</v>
      </c>
      <c r="S68" s="23" t="s">
        <v>13</v>
      </c>
      <c r="T68" s="24" t="s">
        <v>324</v>
      </c>
    </row>
    <row r="69" spans="1:20" x14ac:dyDescent="0.3">
      <c r="A69" s="17">
        <v>68</v>
      </c>
      <c r="B69" s="6" t="s">
        <v>330</v>
      </c>
      <c r="C69" s="6" t="s">
        <v>263</v>
      </c>
      <c r="D69" s="7">
        <v>264.18</v>
      </c>
      <c r="E69" s="23" t="s">
        <v>11</v>
      </c>
      <c r="F69" s="23">
        <v>158.51</v>
      </c>
      <c r="G69" s="23" t="s">
        <v>11</v>
      </c>
      <c r="H69" s="7">
        <v>6.1099999999999994</v>
      </c>
      <c r="I69" s="23" t="s">
        <v>12</v>
      </c>
      <c r="J69" s="7" t="s">
        <v>20</v>
      </c>
      <c r="K69" s="23" t="s">
        <v>20</v>
      </c>
      <c r="L69" s="23">
        <v>6.1099999999999994</v>
      </c>
      <c r="M69" s="23" t="s">
        <v>12</v>
      </c>
      <c r="N69" s="8" t="s">
        <v>13</v>
      </c>
      <c r="O69" s="7">
        <v>60</v>
      </c>
      <c r="P69" s="6" t="s">
        <v>23</v>
      </c>
      <c r="Q69" s="7" t="s">
        <v>20</v>
      </c>
      <c r="R69" s="6" t="s">
        <v>20</v>
      </c>
      <c r="S69" s="23" t="s">
        <v>13</v>
      </c>
      <c r="T69" s="24" t="s">
        <v>324</v>
      </c>
    </row>
    <row r="70" spans="1:20" x14ac:dyDescent="0.3">
      <c r="A70" s="17">
        <v>69</v>
      </c>
      <c r="B70" s="6" t="s">
        <v>331</v>
      </c>
      <c r="C70" s="6" t="s">
        <v>263</v>
      </c>
      <c r="D70" s="7">
        <v>396.26</v>
      </c>
      <c r="E70" s="23" t="s">
        <v>11</v>
      </c>
      <c r="F70" s="23">
        <v>237.76</v>
      </c>
      <c r="G70" s="23" t="s">
        <v>11</v>
      </c>
      <c r="H70" s="7">
        <v>8.1199999999999992</v>
      </c>
      <c r="I70" s="23" t="s">
        <v>12</v>
      </c>
      <c r="J70" s="7" t="s">
        <v>20</v>
      </c>
      <c r="K70" s="23" t="s">
        <v>20</v>
      </c>
      <c r="L70" s="23">
        <v>8.1199999999999992</v>
      </c>
      <c r="M70" s="23" t="s">
        <v>12</v>
      </c>
      <c r="N70" s="8" t="s">
        <v>13</v>
      </c>
      <c r="O70" s="7">
        <v>60</v>
      </c>
      <c r="P70" s="6" t="s">
        <v>23</v>
      </c>
      <c r="Q70" s="7" t="s">
        <v>20</v>
      </c>
      <c r="R70" s="6" t="s">
        <v>20</v>
      </c>
      <c r="S70" s="23" t="s">
        <v>13</v>
      </c>
      <c r="T70" s="24" t="s">
        <v>324</v>
      </c>
    </row>
    <row r="71" spans="1:20" x14ac:dyDescent="0.3">
      <c r="A71" s="17">
        <v>70</v>
      </c>
      <c r="B71" s="6" t="s">
        <v>332</v>
      </c>
      <c r="C71" s="6" t="s">
        <v>263</v>
      </c>
      <c r="D71" s="7">
        <v>528.35</v>
      </c>
      <c r="E71" s="23" t="s">
        <v>11</v>
      </c>
      <c r="F71" s="23">
        <v>317.01</v>
      </c>
      <c r="G71" s="23" t="s">
        <v>11</v>
      </c>
      <c r="H71" s="7">
        <v>8.1199999999999992</v>
      </c>
      <c r="I71" s="23" t="s">
        <v>12</v>
      </c>
      <c r="J71" s="7" t="s">
        <v>20</v>
      </c>
      <c r="K71" s="23" t="s">
        <v>20</v>
      </c>
      <c r="L71" s="23">
        <v>8.1199999999999992</v>
      </c>
      <c r="M71" s="23" t="s">
        <v>12</v>
      </c>
      <c r="N71" s="8" t="s">
        <v>13</v>
      </c>
      <c r="O71" s="7">
        <v>60</v>
      </c>
      <c r="P71" s="6" t="s">
        <v>23</v>
      </c>
      <c r="Q71" s="7" t="s">
        <v>20</v>
      </c>
      <c r="R71" s="6" t="s">
        <v>20</v>
      </c>
      <c r="S71" s="23" t="s">
        <v>13</v>
      </c>
      <c r="T71" s="24" t="s">
        <v>324</v>
      </c>
    </row>
    <row r="72" spans="1:20" x14ac:dyDescent="0.3">
      <c r="A72" s="17">
        <v>71</v>
      </c>
      <c r="B72" s="6" t="s">
        <v>333</v>
      </c>
      <c r="C72" s="6" t="s">
        <v>263</v>
      </c>
      <c r="D72" s="7">
        <v>660.43999999999994</v>
      </c>
      <c r="E72" s="23" t="s">
        <v>11</v>
      </c>
      <c r="F72" s="23">
        <v>396.26</v>
      </c>
      <c r="G72" s="23" t="s">
        <v>11</v>
      </c>
      <c r="H72" s="7">
        <v>11.54</v>
      </c>
      <c r="I72" s="23" t="s">
        <v>12</v>
      </c>
      <c r="J72" s="7" t="s">
        <v>20</v>
      </c>
      <c r="K72" s="23" t="s">
        <v>20</v>
      </c>
      <c r="L72" s="23">
        <v>11.54</v>
      </c>
      <c r="M72" s="23" t="s">
        <v>12</v>
      </c>
      <c r="N72" s="8" t="s">
        <v>13</v>
      </c>
      <c r="O72" s="7">
        <v>60</v>
      </c>
      <c r="P72" s="6" t="s">
        <v>23</v>
      </c>
      <c r="Q72" s="7" t="s">
        <v>20</v>
      </c>
      <c r="R72" s="6" t="s">
        <v>20</v>
      </c>
      <c r="S72" s="23" t="s">
        <v>13</v>
      </c>
      <c r="T72" s="24" t="s">
        <v>324</v>
      </c>
    </row>
    <row r="73" spans="1:20" x14ac:dyDescent="0.3">
      <c r="A73" s="17">
        <v>72</v>
      </c>
      <c r="B73" s="6" t="s">
        <v>334</v>
      </c>
      <c r="C73" s="6" t="s">
        <v>263</v>
      </c>
      <c r="D73" s="7">
        <v>792.52</v>
      </c>
      <c r="E73" s="23" t="s">
        <v>11</v>
      </c>
      <c r="F73" s="23">
        <v>475.51</v>
      </c>
      <c r="G73" s="23" t="s">
        <v>11</v>
      </c>
      <c r="H73" s="7">
        <v>11.54</v>
      </c>
      <c r="I73" s="23" t="s">
        <v>12</v>
      </c>
      <c r="J73" s="7" t="s">
        <v>20</v>
      </c>
      <c r="K73" s="23" t="s">
        <v>20</v>
      </c>
      <c r="L73" s="23">
        <v>11.54</v>
      </c>
      <c r="M73" s="23" t="s">
        <v>12</v>
      </c>
      <c r="N73" s="8" t="s">
        <v>13</v>
      </c>
      <c r="O73" s="7">
        <v>60</v>
      </c>
      <c r="P73" s="6" t="s">
        <v>23</v>
      </c>
      <c r="Q73" s="7" t="s">
        <v>20</v>
      </c>
      <c r="R73" s="6" t="s">
        <v>20</v>
      </c>
      <c r="S73" s="23" t="s">
        <v>13</v>
      </c>
      <c r="T73" s="24" t="s">
        <v>324</v>
      </c>
    </row>
    <row r="74" spans="1:20" x14ac:dyDescent="0.3">
      <c r="A74" s="17">
        <v>73</v>
      </c>
      <c r="B74" s="6" t="s">
        <v>335</v>
      </c>
      <c r="C74" s="6" t="s">
        <v>263</v>
      </c>
      <c r="D74" s="7">
        <v>1056.69</v>
      </c>
      <c r="E74" s="23" t="s">
        <v>11</v>
      </c>
      <c r="F74" s="23">
        <v>634.02</v>
      </c>
      <c r="G74" s="23" t="s">
        <v>11</v>
      </c>
      <c r="H74" s="7">
        <v>16.770000000000003</v>
      </c>
      <c r="I74" s="23" t="s">
        <v>12</v>
      </c>
      <c r="J74" s="7" t="s">
        <v>20</v>
      </c>
      <c r="K74" s="23" t="s">
        <v>20</v>
      </c>
      <c r="L74" s="23">
        <v>16.770000000000003</v>
      </c>
      <c r="M74" s="23" t="s">
        <v>12</v>
      </c>
      <c r="N74" s="8" t="s">
        <v>13</v>
      </c>
      <c r="O74" s="7">
        <v>40</v>
      </c>
      <c r="P74" s="6" t="s">
        <v>23</v>
      </c>
      <c r="Q74" s="7" t="s">
        <v>20</v>
      </c>
      <c r="R74" s="6" t="s">
        <v>20</v>
      </c>
      <c r="S74" s="23" t="s">
        <v>13</v>
      </c>
      <c r="T74" s="24" t="s">
        <v>324</v>
      </c>
    </row>
    <row r="75" spans="1:20" x14ac:dyDescent="0.3">
      <c r="A75" s="17">
        <v>74</v>
      </c>
      <c r="B75" s="6" t="s">
        <v>336</v>
      </c>
      <c r="C75" s="6" t="s">
        <v>263</v>
      </c>
      <c r="D75" s="7">
        <v>1320.87</v>
      </c>
      <c r="E75" s="23" t="s">
        <v>11</v>
      </c>
      <c r="F75" s="23">
        <v>792.52</v>
      </c>
      <c r="G75" s="23" t="s">
        <v>11</v>
      </c>
      <c r="H75" s="7">
        <v>23.07</v>
      </c>
      <c r="I75" s="23" t="s">
        <v>12</v>
      </c>
      <c r="J75" s="7" t="s">
        <v>20</v>
      </c>
      <c r="K75" s="23" t="s">
        <v>20</v>
      </c>
      <c r="L75" s="23">
        <v>23.07</v>
      </c>
      <c r="M75" s="23" t="s">
        <v>12</v>
      </c>
      <c r="N75" s="8" t="s">
        <v>13</v>
      </c>
      <c r="O75" s="7">
        <v>40</v>
      </c>
      <c r="P75" s="6" t="s">
        <v>23</v>
      </c>
      <c r="Q75" s="7" t="s">
        <v>20</v>
      </c>
      <c r="R75" s="6" t="s">
        <v>20</v>
      </c>
      <c r="S75" s="23" t="s">
        <v>13</v>
      </c>
      <c r="T75" s="24" t="s">
        <v>324</v>
      </c>
    </row>
    <row r="76" spans="1:20" x14ac:dyDescent="0.3">
      <c r="A76" s="17">
        <v>75</v>
      </c>
      <c r="B76" s="6" t="s">
        <v>337</v>
      </c>
      <c r="C76" s="6" t="s">
        <v>263</v>
      </c>
      <c r="D76" s="7">
        <v>1585.04</v>
      </c>
      <c r="E76" s="23" t="s">
        <v>11</v>
      </c>
      <c r="F76" s="23">
        <v>951.02</v>
      </c>
      <c r="G76" s="23" t="s">
        <v>11</v>
      </c>
      <c r="H76" s="7">
        <v>27.76</v>
      </c>
      <c r="I76" s="23" t="s">
        <v>12</v>
      </c>
      <c r="J76" s="7" t="s">
        <v>20</v>
      </c>
      <c r="K76" s="23" t="s">
        <v>20</v>
      </c>
      <c r="L76" s="23">
        <v>27.76</v>
      </c>
      <c r="M76" s="23" t="s">
        <v>12</v>
      </c>
      <c r="N76" s="8" t="s">
        <v>13</v>
      </c>
      <c r="O76" s="7">
        <v>40</v>
      </c>
      <c r="P76" s="6" t="s">
        <v>23</v>
      </c>
      <c r="Q76" s="7" t="s">
        <v>20</v>
      </c>
      <c r="R76" s="6" t="s">
        <v>20</v>
      </c>
      <c r="S76" s="23" t="s">
        <v>13</v>
      </c>
      <c r="T76" s="24" t="s">
        <v>324</v>
      </c>
    </row>
    <row r="77" spans="1:20" x14ac:dyDescent="0.3">
      <c r="A77" s="17">
        <v>76</v>
      </c>
      <c r="B77" s="6" t="s">
        <v>338</v>
      </c>
      <c r="C77" s="6" t="s">
        <v>263</v>
      </c>
      <c r="D77" s="7">
        <v>2113.38</v>
      </c>
      <c r="E77" s="23" t="s">
        <v>11</v>
      </c>
      <c r="F77" s="23">
        <v>1268.03</v>
      </c>
      <c r="G77" s="23" t="s">
        <v>11</v>
      </c>
      <c r="H77" s="7">
        <v>33.53</v>
      </c>
      <c r="I77" s="23" t="s">
        <v>12</v>
      </c>
      <c r="J77" s="7" t="s">
        <v>20</v>
      </c>
      <c r="K77" s="23" t="s">
        <v>20</v>
      </c>
      <c r="L77" s="23">
        <v>33.53</v>
      </c>
      <c r="M77" s="23" t="s">
        <v>12</v>
      </c>
      <c r="N77" s="8" t="s">
        <v>13</v>
      </c>
      <c r="O77" s="7">
        <v>40</v>
      </c>
      <c r="P77" s="6" t="s">
        <v>23</v>
      </c>
      <c r="Q77" s="7" t="s">
        <v>20</v>
      </c>
      <c r="R77" s="6" t="s">
        <v>20</v>
      </c>
      <c r="S77" s="23" t="s">
        <v>13</v>
      </c>
      <c r="T77" s="24" t="s">
        <v>324</v>
      </c>
    </row>
    <row r="78" spans="1:20" x14ac:dyDescent="0.3">
      <c r="A78" s="17">
        <v>77</v>
      </c>
      <c r="B78" s="6" t="s">
        <v>339</v>
      </c>
      <c r="C78" s="6" t="s">
        <v>263</v>
      </c>
      <c r="D78" s="7">
        <v>2641.73</v>
      </c>
      <c r="E78" s="23" t="s">
        <v>11</v>
      </c>
      <c r="F78" s="23">
        <v>1585.04</v>
      </c>
      <c r="G78" s="23" t="s">
        <v>11</v>
      </c>
      <c r="H78" s="7">
        <v>45.6</v>
      </c>
      <c r="I78" s="23" t="s">
        <v>12</v>
      </c>
      <c r="J78" s="7" t="s">
        <v>20</v>
      </c>
      <c r="K78" s="23" t="s">
        <v>20</v>
      </c>
      <c r="L78" s="23">
        <v>45.6</v>
      </c>
      <c r="M78" s="23" t="s">
        <v>12</v>
      </c>
      <c r="N78" s="8" t="s">
        <v>13</v>
      </c>
      <c r="O78" s="7">
        <v>40</v>
      </c>
      <c r="P78" s="6" t="s">
        <v>23</v>
      </c>
      <c r="Q78" s="7" t="s">
        <v>20</v>
      </c>
      <c r="R78" s="6" t="s">
        <v>20</v>
      </c>
      <c r="S78" s="23" t="s">
        <v>13</v>
      </c>
      <c r="T78" s="24" t="s">
        <v>324</v>
      </c>
    </row>
    <row r="79" spans="1:20" x14ac:dyDescent="0.3">
      <c r="A79" s="17">
        <v>78</v>
      </c>
      <c r="B79" s="6" t="s">
        <v>340</v>
      </c>
      <c r="C79" s="6" t="s">
        <v>341</v>
      </c>
      <c r="D79" s="7">
        <v>1.33</v>
      </c>
      <c r="E79" s="23" t="s">
        <v>11</v>
      </c>
      <c r="F79" s="23">
        <v>0.8</v>
      </c>
      <c r="G79" s="23" t="s">
        <v>11</v>
      </c>
      <c r="H79" s="7" t="s">
        <v>20</v>
      </c>
      <c r="I79" s="23" t="s">
        <v>20</v>
      </c>
      <c r="J79" s="7">
        <v>0.34</v>
      </c>
      <c r="K79" s="23" t="s">
        <v>12</v>
      </c>
      <c r="L79" s="23">
        <v>0.34</v>
      </c>
      <c r="M79" s="23" t="s">
        <v>12</v>
      </c>
      <c r="N79" s="8" t="s">
        <v>13</v>
      </c>
      <c r="O79" s="7" t="s">
        <v>20</v>
      </c>
      <c r="P79" s="6" t="s">
        <v>20</v>
      </c>
      <c r="Q79" s="7" t="s">
        <v>13</v>
      </c>
      <c r="R79" s="6" t="s">
        <v>23</v>
      </c>
      <c r="S79" s="23" t="s">
        <v>13</v>
      </c>
      <c r="T79" s="24" t="s">
        <v>20</v>
      </c>
    </row>
    <row r="80" spans="1:20" x14ac:dyDescent="0.3">
      <c r="A80" s="17">
        <v>79</v>
      </c>
      <c r="B80" s="6" t="s">
        <v>342</v>
      </c>
      <c r="C80" s="6" t="s">
        <v>341</v>
      </c>
      <c r="D80" s="7">
        <v>3.9699999999999998</v>
      </c>
      <c r="E80" s="23" t="s">
        <v>11</v>
      </c>
      <c r="F80" s="23">
        <v>1.85</v>
      </c>
      <c r="G80" s="23" t="s">
        <v>11</v>
      </c>
      <c r="H80" s="7" t="s">
        <v>20</v>
      </c>
      <c r="I80" s="23" t="s">
        <v>20</v>
      </c>
      <c r="J80" s="7">
        <v>0.5</v>
      </c>
      <c r="K80" s="23" t="s">
        <v>12</v>
      </c>
      <c r="L80" s="23">
        <v>0.5</v>
      </c>
      <c r="M80" s="23" t="s">
        <v>12</v>
      </c>
      <c r="N80" s="8" t="s">
        <v>13</v>
      </c>
      <c r="O80" s="7" t="s">
        <v>20</v>
      </c>
      <c r="P80" s="6" t="s">
        <v>20</v>
      </c>
      <c r="Q80" s="7" t="s">
        <v>13</v>
      </c>
      <c r="R80" s="6" t="s">
        <v>23</v>
      </c>
      <c r="S80" s="23" t="s">
        <v>13</v>
      </c>
      <c r="T80" s="24" t="s">
        <v>20</v>
      </c>
    </row>
    <row r="81" spans="1:20" x14ac:dyDescent="0.3">
      <c r="A81" s="17">
        <v>80</v>
      </c>
      <c r="B81" s="6" t="s">
        <v>343</v>
      </c>
      <c r="C81" s="6" t="s">
        <v>341</v>
      </c>
      <c r="D81" s="7">
        <v>11.89</v>
      </c>
      <c r="E81" s="23" t="s">
        <v>11</v>
      </c>
      <c r="F81" s="23">
        <v>5.29</v>
      </c>
      <c r="G81" s="23" t="s">
        <v>11</v>
      </c>
      <c r="H81" s="7" t="s">
        <v>20</v>
      </c>
      <c r="I81" s="23" t="s">
        <v>20</v>
      </c>
      <c r="J81" s="7">
        <v>0.74</v>
      </c>
      <c r="K81" s="23" t="s">
        <v>12</v>
      </c>
      <c r="L81" s="23">
        <v>0.74</v>
      </c>
      <c r="M81" s="23" t="s">
        <v>12</v>
      </c>
      <c r="N81" s="8" t="s">
        <v>13</v>
      </c>
      <c r="O81" s="7" t="s">
        <v>20</v>
      </c>
      <c r="P81" s="6" t="s">
        <v>20</v>
      </c>
      <c r="Q81" s="7" t="s">
        <v>13</v>
      </c>
      <c r="R81" s="6" t="s">
        <v>23</v>
      </c>
      <c r="S81" s="23" t="s">
        <v>13</v>
      </c>
      <c r="T81" s="24" t="s">
        <v>20</v>
      </c>
    </row>
    <row r="82" spans="1:20" x14ac:dyDescent="0.3">
      <c r="A82" s="17">
        <v>81</v>
      </c>
      <c r="B82" s="6" t="s">
        <v>344</v>
      </c>
      <c r="C82" s="6" t="s">
        <v>341</v>
      </c>
      <c r="D82" s="7">
        <v>26.42</v>
      </c>
      <c r="E82" s="23" t="s">
        <v>11</v>
      </c>
      <c r="F82" s="23">
        <v>13.209999999999999</v>
      </c>
      <c r="G82" s="23" t="s">
        <v>11</v>
      </c>
      <c r="H82" s="7" t="s">
        <v>20</v>
      </c>
      <c r="I82" s="23" t="s">
        <v>20</v>
      </c>
      <c r="J82" s="7">
        <v>1.01</v>
      </c>
      <c r="K82" s="23" t="s">
        <v>12</v>
      </c>
      <c r="L82" s="23">
        <v>1.01</v>
      </c>
      <c r="M82" s="23" t="s">
        <v>12</v>
      </c>
      <c r="N82" s="8" t="s">
        <v>13</v>
      </c>
      <c r="O82" s="7" t="s">
        <v>20</v>
      </c>
      <c r="P82" s="6" t="s">
        <v>20</v>
      </c>
      <c r="Q82" s="7" t="s">
        <v>13</v>
      </c>
      <c r="R82" s="6" t="s">
        <v>23</v>
      </c>
      <c r="S82" s="23" t="s">
        <v>13</v>
      </c>
      <c r="T82" s="24" t="s">
        <v>20</v>
      </c>
    </row>
    <row r="83" spans="1:20" x14ac:dyDescent="0.3">
      <c r="A83" s="17">
        <v>82</v>
      </c>
      <c r="B83" s="6" t="s">
        <v>345</v>
      </c>
      <c r="C83" s="6" t="s">
        <v>341</v>
      </c>
      <c r="D83" s="7">
        <v>52.839999999999996</v>
      </c>
      <c r="E83" s="23" t="s">
        <v>11</v>
      </c>
      <c r="F83" s="23">
        <v>26.42</v>
      </c>
      <c r="G83" s="23" t="s">
        <v>11</v>
      </c>
      <c r="H83" s="7" t="s">
        <v>20</v>
      </c>
      <c r="I83" s="23" t="s">
        <v>20</v>
      </c>
      <c r="J83" s="7">
        <v>1.48</v>
      </c>
      <c r="K83" s="23" t="s">
        <v>12</v>
      </c>
      <c r="L83" s="23">
        <v>1.48</v>
      </c>
      <c r="M83" s="23" t="s">
        <v>12</v>
      </c>
      <c r="N83" s="8" t="s">
        <v>13</v>
      </c>
      <c r="O83" s="7" t="s">
        <v>20</v>
      </c>
      <c r="P83" s="6" t="s">
        <v>20</v>
      </c>
      <c r="Q83" s="7" t="s">
        <v>13</v>
      </c>
      <c r="R83" s="6" t="s">
        <v>23</v>
      </c>
      <c r="S83" s="23" t="s">
        <v>13</v>
      </c>
      <c r="T83" s="24" t="s">
        <v>20</v>
      </c>
    </row>
    <row r="84" spans="1:20" x14ac:dyDescent="0.3">
      <c r="A84" s="17">
        <v>83</v>
      </c>
      <c r="B84" s="6" t="s">
        <v>346</v>
      </c>
      <c r="C84" s="6" t="s">
        <v>341</v>
      </c>
      <c r="D84" s="7">
        <v>79.260000000000005</v>
      </c>
      <c r="E84" s="23" t="s">
        <v>11</v>
      </c>
      <c r="F84" s="23">
        <v>39.629999999999995</v>
      </c>
      <c r="G84" s="23" t="s">
        <v>11</v>
      </c>
      <c r="H84" s="7" t="s">
        <v>20</v>
      </c>
      <c r="I84" s="23" t="s">
        <v>20</v>
      </c>
      <c r="J84" s="7">
        <v>2.0199999999999996</v>
      </c>
      <c r="K84" s="23" t="s">
        <v>12</v>
      </c>
      <c r="L84" s="23">
        <v>2.0199999999999996</v>
      </c>
      <c r="M84" s="23" t="s">
        <v>12</v>
      </c>
      <c r="N84" s="8" t="s">
        <v>13</v>
      </c>
      <c r="O84" s="7" t="s">
        <v>20</v>
      </c>
      <c r="P84" s="6" t="s">
        <v>20</v>
      </c>
      <c r="Q84" s="7" t="s">
        <v>13</v>
      </c>
      <c r="R84" s="6" t="s">
        <v>23</v>
      </c>
      <c r="S84" s="23" t="s">
        <v>13</v>
      </c>
      <c r="T84" s="24" t="s">
        <v>20</v>
      </c>
    </row>
    <row r="85" spans="1:20" x14ac:dyDescent="0.3">
      <c r="A85" s="17">
        <v>84</v>
      </c>
      <c r="B85" s="6" t="s">
        <v>347</v>
      </c>
      <c r="C85" s="6" t="s">
        <v>341</v>
      </c>
      <c r="D85" s="7">
        <v>132.09</v>
      </c>
      <c r="E85" s="23" t="s">
        <v>11</v>
      </c>
      <c r="F85" s="23">
        <v>66.050000000000011</v>
      </c>
      <c r="G85" s="23" t="s">
        <v>11</v>
      </c>
      <c r="H85" s="7" t="s">
        <v>20</v>
      </c>
      <c r="I85" s="23" t="s">
        <v>20</v>
      </c>
      <c r="J85" s="7">
        <v>2.96</v>
      </c>
      <c r="K85" s="23" t="s">
        <v>12</v>
      </c>
      <c r="L85" s="23">
        <v>2.96</v>
      </c>
      <c r="M85" s="23" t="s">
        <v>12</v>
      </c>
      <c r="N85" s="8" t="s">
        <v>13</v>
      </c>
      <c r="O85" s="7" t="s">
        <v>20</v>
      </c>
      <c r="P85" s="6" t="s">
        <v>20</v>
      </c>
      <c r="Q85" s="7" t="s">
        <v>13</v>
      </c>
      <c r="R85" s="6" t="s">
        <v>23</v>
      </c>
      <c r="S85" s="23" t="s">
        <v>13</v>
      </c>
      <c r="T85" s="24" t="s">
        <v>20</v>
      </c>
    </row>
    <row r="86" spans="1:20" x14ac:dyDescent="0.3">
      <c r="A86" s="17">
        <v>85</v>
      </c>
      <c r="B86" s="6" t="s">
        <v>348</v>
      </c>
      <c r="C86" s="6" t="s">
        <v>341</v>
      </c>
      <c r="D86" s="7">
        <v>184.92999999999998</v>
      </c>
      <c r="E86" s="23" t="s">
        <v>11</v>
      </c>
      <c r="F86" s="23">
        <v>92.47</v>
      </c>
      <c r="G86" s="23" t="s">
        <v>11</v>
      </c>
      <c r="H86" s="7" t="s">
        <v>20</v>
      </c>
      <c r="I86" s="23" t="s">
        <v>20</v>
      </c>
      <c r="J86" s="7">
        <v>4.0299999999999994</v>
      </c>
      <c r="K86" s="23" t="s">
        <v>12</v>
      </c>
      <c r="L86" s="23">
        <v>4.0299999999999994</v>
      </c>
      <c r="M86" s="23" t="s">
        <v>12</v>
      </c>
      <c r="N86" s="8" t="s">
        <v>13</v>
      </c>
      <c r="O86" s="7" t="s">
        <v>20</v>
      </c>
      <c r="P86" s="6" t="s">
        <v>20</v>
      </c>
      <c r="Q86" s="7" t="s">
        <v>13</v>
      </c>
      <c r="R86" s="6" t="s">
        <v>23</v>
      </c>
      <c r="S86" s="23" t="s">
        <v>13</v>
      </c>
      <c r="T86" s="24" t="s">
        <v>20</v>
      </c>
    </row>
    <row r="87" spans="1:20" x14ac:dyDescent="0.3">
      <c r="A87" s="17">
        <v>86</v>
      </c>
      <c r="B87" s="6" t="s">
        <v>349</v>
      </c>
      <c r="C87" s="6" t="s">
        <v>341</v>
      </c>
      <c r="D87" s="7">
        <v>264.18</v>
      </c>
      <c r="E87" s="23" t="s">
        <v>11</v>
      </c>
      <c r="F87" s="23">
        <v>132.09</v>
      </c>
      <c r="G87" s="23" t="s">
        <v>11</v>
      </c>
      <c r="H87" s="7" t="s">
        <v>20</v>
      </c>
      <c r="I87" s="23" t="s">
        <v>20</v>
      </c>
      <c r="J87" s="7">
        <v>5.37</v>
      </c>
      <c r="K87" s="23" t="s">
        <v>12</v>
      </c>
      <c r="L87" s="23">
        <v>5.37</v>
      </c>
      <c r="M87" s="23" t="s">
        <v>12</v>
      </c>
      <c r="N87" s="8" t="s">
        <v>13</v>
      </c>
      <c r="O87" s="7" t="s">
        <v>20</v>
      </c>
      <c r="P87" s="6" t="s">
        <v>20</v>
      </c>
      <c r="Q87" s="7" t="s">
        <v>13</v>
      </c>
      <c r="R87" s="6" t="s">
        <v>23</v>
      </c>
      <c r="S87" s="23" t="s">
        <v>13</v>
      </c>
      <c r="T87" s="24" t="s">
        <v>20</v>
      </c>
    </row>
    <row r="88" spans="1:20" x14ac:dyDescent="0.3">
      <c r="A88" s="17">
        <v>87</v>
      </c>
      <c r="B88" s="6" t="s">
        <v>350</v>
      </c>
      <c r="C88" s="6" t="s">
        <v>341</v>
      </c>
      <c r="D88" s="7">
        <v>528.35</v>
      </c>
      <c r="E88" s="23" t="s">
        <v>11</v>
      </c>
      <c r="F88" s="23">
        <v>264.18</v>
      </c>
      <c r="G88" s="23" t="s">
        <v>11</v>
      </c>
      <c r="H88" s="7" t="s">
        <v>20</v>
      </c>
      <c r="I88" s="23" t="s">
        <v>20</v>
      </c>
      <c r="J88" s="7">
        <v>7.38</v>
      </c>
      <c r="K88" s="23" t="s">
        <v>12</v>
      </c>
      <c r="L88" s="23">
        <v>7.38</v>
      </c>
      <c r="M88" s="23" t="s">
        <v>12</v>
      </c>
      <c r="N88" s="8" t="s">
        <v>13</v>
      </c>
      <c r="O88" s="7" t="s">
        <v>20</v>
      </c>
      <c r="P88" s="6" t="s">
        <v>20</v>
      </c>
      <c r="Q88" s="7" t="s">
        <v>13</v>
      </c>
      <c r="R88" s="6" t="s">
        <v>23</v>
      </c>
      <c r="S88" s="23" t="s">
        <v>13</v>
      </c>
      <c r="T88" s="24" t="s">
        <v>20</v>
      </c>
    </row>
    <row r="89" spans="1:20" x14ac:dyDescent="0.3">
      <c r="A89" s="17">
        <v>88</v>
      </c>
      <c r="B89" s="6" t="s">
        <v>351</v>
      </c>
      <c r="C89" s="6" t="s">
        <v>341</v>
      </c>
      <c r="D89" s="7">
        <v>792.52</v>
      </c>
      <c r="E89" s="23" t="s">
        <v>11</v>
      </c>
      <c r="F89" s="23">
        <v>396.26</v>
      </c>
      <c r="G89" s="23" t="s">
        <v>11</v>
      </c>
      <c r="H89" s="7" t="s">
        <v>20</v>
      </c>
      <c r="I89" s="23" t="s">
        <v>20</v>
      </c>
      <c r="J89" s="7">
        <v>10.06</v>
      </c>
      <c r="K89" s="23" t="s">
        <v>12</v>
      </c>
      <c r="L89" s="23">
        <v>10.06</v>
      </c>
      <c r="M89" s="23" t="s">
        <v>12</v>
      </c>
      <c r="N89" s="8" t="s">
        <v>13</v>
      </c>
      <c r="O89" s="7" t="s">
        <v>20</v>
      </c>
      <c r="P89" s="6" t="s">
        <v>20</v>
      </c>
      <c r="Q89" s="7" t="s">
        <v>13</v>
      </c>
      <c r="R89" s="6" t="s">
        <v>23</v>
      </c>
      <c r="S89" s="23" t="s">
        <v>13</v>
      </c>
      <c r="T89" s="24" t="s">
        <v>20</v>
      </c>
    </row>
    <row r="90" spans="1:20" x14ac:dyDescent="0.3">
      <c r="A90" s="17">
        <v>89</v>
      </c>
      <c r="B90" s="6" t="s">
        <v>352</v>
      </c>
      <c r="C90" s="6" t="s">
        <v>341</v>
      </c>
      <c r="D90" s="7">
        <v>1056.69</v>
      </c>
      <c r="E90" s="23" t="s">
        <v>11</v>
      </c>
      <c r="F90" s="23">
        <v>528.35</v>
      </c>
      <c r="G90" s="23" t="s">
        <v>11</v>
      </c>
      <c r="H90" s="7" t="s">
        <v>20</v>
      </c>
      <c r="I90" s="23" t="s">
        <v>20</v>
      </c>
      <c r="J90" s="7">
        <v>14.76</v>
      </c>
      <c r="K90" s="23" t="s">
        <v>12</v>
      </c>
      <c r="L90" s="23">
        <v>14.76</v>
      </c>
      <c r="M90" s="23" t="s">
        <v>12</v>
      </c>
      <c r="N90" s="8" t="s">
        <v>13</v>
      </c>
      <c r="O90" s="7" t="s">
        <v>20</v>
      </c>
      <c r="P90" s="6" t="s">
        <v>20</v>
      </c>
      <c r="Q90" s="7" t="s">
        <v>13</v>
      </c>
      <c r="R90" s="6" t="s">
        <v>23</v>
      </c>
      <c r="S90" s="23" t="s">
        <v>13</v>
      </c>
      <c r="T90" s="24" t="s">
        <v>20</v>
      </c>
    </row>
    <row r="91" spans="1:20" x14ac:dyDescent="0.3">
      <c r="A91" s="17">
        <v>90</v>
      </c>
      <c r="B91" s="6" t="s">
        <v>353</v>
      </c>
      <c r="C91" s="6" t="s">
        <v>341</v>
      </c>
      <c r="D91" s="7">
        <v>1320.87</v>
      </c>
      <c r="E91" s="23" t="s">
        <v>11</v>
      </c>
      <c r="F91" s="23">
        <v>660.43999999999994</v>
      </c>
      <c r="G91" s="23" t="s">
        <v>11</v>
      </c>
      <c r="H91" s="7" t="s">
        <v>20</v>
      </c>
      <c r="I91" s="23" t="s">
        <v>20</v>
      </c>
      <c r="J91" s="7">
        <v>20.12</v>
      </c>
      <c r="K91" s="23" t="s">
        <v>12</v>
      </c>
      <c r="L91" s="23">
        <v>20.12</v>
      </c>
      <c r="M91" s="23" t="s">
        <v>12</v>
      </c>
      <c r="N91" s="8" t="s">
        <v>13</v>
      </c>
      <c r="O91" s="7" t="s">
        <v>20</v>
      </c>
      <c r="P91" s="6" t="s">
        <v>20</v>
      </c>
      <c r="Q91" s="7" t="s">
        <v>13</v>
      </c>
      <c r="R91" s="6" t="s">
        <v>23</v>
      </c>
      <c r="S91" s="23" t="s">
        <v>13</v>
      </c>
      <c r="T91" s="24" t="s">
        <v>20</v>
      </c>
    </row>
    <row r="92" spans="1:20" x14ac:dyDescent="0.3">
      <c r="A92" s="17">
        <v>91</v>
      </c>
      <c r="B92" s="6" t="s">
        <v>354</v>
      </c>
      <c r="C92" s="6" t="s">
        <v>249</v>
      </c>
      <c r="D92" s="7">
        <v>1.33</v>
      </c>
      <c r="E92" s="23" t="s">
        <v>11</v>
      </c>
      <c r="F92" s="23">
        <v>1.06</v>
      </c>
      <c r="G92" s="23" t="s">
        <v>11</v>
      </c>
      <c r="H92" s="7" t="s">
        <v>20</v>
      </c>
      <c r="I92" s="23" t="s">
        <v>20</v>
      </c>
      <c r="J92" s="7">
        <v>0.34</v>
      </c>
      <c r="K92" s="23" t="s">
        <v>12</v>
      </c>
      <c r="L92" s="23">
        <v>0.34</v>
      </c>
      <c r="M92" s="23" t="s">
        <v>12</v>
      </c>
      <c r="N92" s="8" t="s">
        <v>13</v>
      </c>
      <c r="O92" s="7" t="s">
        <v>20</v>
      </c>
      <c r="P92" s="6" t="s">
        <v>20</v>
      </c>
      <c r="Q92" s="7">
        <v>28</v>
      </c>
      <c r="R92" s="6" t="s">
        <v>23</v>
      </c>
      <c r="S92" s="23" t="s">
        <v>13</v>
      </c>
      <c r="T92" s="24" t="s">
        <v>20</v>
      </c>
    </row>
    <row r="93" spans="1:20" x14ac:dyDescent="0.3">
      <c r="A93" s="17">
        <v>92</v>
      </c>
      <c r="B93" s="6" t="s">
        <v>355</v>
      </c>
      <c r="C93" s="6" t="s">
        <v>249</v>
      </c>
      <c r="D93" s="7">
        <v>3.9699999999999998</v>
      </c>
      <c r="E93" s="23" t="s">
        <v>11</v>
      </c>
      <c r="F93" s="23">
        <v>3.1799999999999997</v>
      </c>
      <c r="G93" s="23" t="s">
        <v>11</v>
      </c>
      <c r="H93" s="7" t="s">
        <v>20</v>
      </c>
      <c r="I93" s="23" t="s">
        <v>20</v>
      </c>
      <c r="J93" s="7">
        <v>0.5</v>
      </c>
      <c r="K93" s="23" t="s">
        <v>12</v>
      </c>
      <c r="L93" s="23">
        <v>0.5</v>
      </c>
      <c r="M93" s="23" t="s">
        <v>12</v>
      </c>
      <c r="N93" s="8" t="s">
        <v>13</v>
      </c>
      <c r="O93" s="7" t="s">
        <v>20</v>
      </c>
      <c r="P93" s="6" t="s">
        <v>20</v>
      </c>
      <c r="Q93" s="7">
        <v>20</v>
      </c>
      <c r="R93" s="6" t="s">
        <v>23</v>
      </c>
      <c r="S93" s="23" t="s">
        <v>13</v>
      </c>
      <c r="T93" s="24" t="s">
        <v>20</v>
      </c>
    </row>
    <row r="94" spans="1:20" x14ac:dyDescent="0.3">
      <c r="A94" s="17">
        <v>93</v>
      </c>
      <c r="B94" s="6" t="s">
        <v>356</v>
      </c>
      <c r="C94" s="6" t="s">
        <v>249</v>
      </c>
      <c r="D94" s="7">
        <v>13.209999999999999</v>
      </c>
      <c r="E94" s="23" t="s">
        <v>11</v>
      </c>
      <c r="F94" s="23">
        <v>10.57</v>
      </c>
      <c r="G94" s="23" t="s">
        <v>11</v>
      </c>
      <c r="H94" s="7" t="s">
        <v>20</v>
      </c>
      <c r="I94" s="23" t="s">
        <v>20</v>
      </c>
      <c r="J94" s="7">
        <v>2.0199999999999996</v>
      </c>
      <c r="K94" s="23" t="s">
        <v>12</v>
      </c>
      <c r="L94" s="23">
        <v>2.0199999999999996</v>
      </c>
      <c r="M94" s="23" t="s">
        <v>12</v>
      </c>
      <c r="N94" s="8" t="s">
        <v>13</v>
      </c>
      <c r="O94" s="7" t="s">
        <v>20</v>
      </c>
      <c r="P94" s="6" t="s">
        <v>20</v>
      </c>
      <c r="Q94" s="7">
        <v>15</v>
      </c>
      <c r="R94" s="6" t="s">
        <v>23</v>
      </c>
      <c r="S94" s="23" t="s">
        <v>13</v>
      </c>
      <c r="T94" s="24" t="s">
        <v>20</v>
      </c>
    </row>
    <row r="95" spans="1:20" x14ac:dyDescent="0.3">
      <c r="A95" s="17">
        <v>94</v>
      </c>
      <c r="B95" s="6" t="s">
        <v>357</v>
      </c>
      <c r="C95" s="6" t="s">
        <v>249</v>
      </c>
      <c r="D95" s="7">
        <v>26.42</v>
      </c>
      <c r="E95" s="23" t="s">
        <v>11</v>
      </c>
      <c r="F95" s="23">
        <v>21.14</v>
      </c>
      <c r="G95" s="23" t="s">
        <v>11</v>
      </c>
      <c r="H95" s="7" t="s">
        <v>20</v>
      </c>
      <c r="I95" s="23" t="s">
        <v>20</v>
      </c>
      <c r="J95" s="7">
        <v>2.96</v>
      </c>
      <c r="K95" s="23" t="s">
        <v>12</v>
      </c>
      <c r="L95" s="23">
        <v>2.96</v>
      </c>
      <c r="M95" s="23" t="s">
        <v>12</v>
      </c>
      <c r="N95" s="8" t="s">
        <v>13</v>
      </c>
      <c r="O95" s="7" t="s">
        <v>20</v>
      </c>
      <c r="P95" s="6" t="s">
        <v>20</v>
      </c>
      <c r="Q95" s="7">
        <v>12</v>
      </c>
      <c r="R95" s="6" t="s">
        <v>23</v>
      </c>
      <c r="S95" s="23" t="s">
        <v>13</v>
      </c>
      <c r="T95" s="24" t="s">
        <v>20</v>
      </c>
    </row>
    <row r="96" spans="1:20" x14ac:dyDescent="0.3">
      <c r="A96" s="17">
        <v>95</v>
      </c>
      <c r="B96" s="6" t="s">
        <v>358</v>
      </c>
      <c r="C96" s="6" t="s">
        <v>249</v>
      </c>
      <c r="D96" s="7">
        <v>79.260000000000005</v>
      </c>
      <c r="E96" s="23" t="s">
        <v>11</v>
      </c>
      <c r="F96" s="23">
        <v>63.41</v>
      </c>
      <c r="G96" s="23" t="s">
        <v>11</v>
      </c>
      <c r="H96" s="7" t="s">
        <v>20</v>
      </c>
      <c r="I96" s="23" t="s">
        <v>20</v>
      </c>
      <c r="J96" s="7">
        <v>5.37</v>
      </c>
      <c r="K96" s="23" t="s">
        <v>12</v>
      </c>
      <c r="L96" s="23">
        <v>5.37</v>
      </c>
      <c r="M96" s="23" t="s">
        <v>12</v>
      </c>
      <c r="N96" s="8" t="s">
        <v>13</v>
      </c>
      <c r="O96" s="7" t="s">
        <v>20</v>
      </c>
      <c r="P96" s="6" t="s">
        <v>20</v>
      </c>
      <c r="Q96" s="7">
        <v>8</v>
      </c>
      <c r="R96" s="6" t="s">
        <v>23</v>
      </c>
      <c r="S96" s="23" t="s">
        <v>13</v>
      </c>
      <c r="T96" s="24" t="s">
        <v>20</v>
      </c>
    </row>
    <row r="97" spans="1:20" x14ac:dyDescent="0.3">
      <c r="A97" s="17">
        <v>96</v>
      </c>
      <c r="B97" s="6" t="s">
        <v>359</v>
      </c>
      <c r="C97" s="6" t="s">
        <v>360</v>
      </c>
      <c r="D97" s="7">
        <v>7.93</v>
      </c>
      <c r="E97" s="23" t="s">
        <v>11</v>
      </c>
      <c r="F97" s="23">
        <v>5.55</v>
      </c>
      <c r="G97" s="23" t="s">
        <v>11</v>
      </c>
      <c r="H97" s="7">
        <v>1.48</v>
      </c>
      <c r="I97" s="23" t="s">
        <v>12</v>
      </c>
      <c r="J97" s="7" t="s">
        <v>20</v>
      </c>
      <c r="K97" s="23" t="s">
        <v>20</v>
      </c>
      <c r="L97" s="23">
        <v>1.48</v>
      </c>
      <c r="M97" s="23" t="s">
        <v>12</v>
      </c>
      <c r="N97" s="8" t="s">
        <v>13</v>
      </c>
      <c r="O97" s="7">
        <v>150</v>
      </c>
      <c r="P97" s="6" t="s">
        <v>23</v>
      </c>
      <c r="Q97" s="7" t="s">
        <v>20</v>
      </c>
      <c r="R97" s="6" t="s">
        <v>20</v>
      </c>
      <c r="S97" s="23" t="s">
        <v>13</v>
      </c>
      <c r="T97" s="24" t="s">
        <v>288</v>
      </c>
    </row>
    <row r="98" spans="1:20" x14ac:dyDescent="0.3">
      <c r="A98" s="17">
        <v>97</v>
      </c>
      <c r="B98" s="6" t="s">
        <v>361</v>
      </c>
      <c r="C98" s="6" t="s">
        <v>360</v>
      </c>
      <c r="D98" s="7">
        <v>13.209999999999999</v>
      </c>
      <c r="E98" s="23" t="s">
        <v>11</v>
      </c>
      <c r="F98" s="23">
        <v>9.25</v>
      </c>
      <c r="G98" s="23" t="s">
        <v>11</v>
      </c>
      <c r="H98" s="7">
        <v>2.96</v>
      </c>
      <c r="I98" s="23" t="s">
        <v>12</v>
      </c>
      <c r="J98" s="7" t="s">
        <v>20</v>
      </c>
      <c r="K98" s="23" t="s">
        <v>20</v>
      </c>
      <c r="L98" s="23">
        <v>2.96</v>
      </c>
      <c r="M98" s="23" t="s">
        <v>12</v>
      </c>
      <c r="N98" s="8" t="s">
        <v>13</v>
      </c>
      <c r="O98" s="7">
        <v>134</v>
      </c>
      <c r="P98" s="6" t="s">
        <v>23</v>
      </c>
      <c r="Q98" s="7" t="s">
        <v>20</v>
      </c>
      <c r="R98" s="6" t="s">
        <v>20</v>
      </c>
      <c r="S98" s="23" t="s">
        <v>13</v>
      </c>
      <c r="T98" s="24" t="s">
        <v>288</v>
      </c>
    </row>
    <row r="99" spans="1:20" x14ac:dyDescent="0.3">
      <c r="A99" s="17">
        <v>98</v>
      </c>
      <c r="B99" s="6" t="s">
        <v>362</v>
      </c>
      <c r="C99" s="6" t="s">
        <v>360</v>
      </c>
      <c r="D99" s="7">
        <v>26.42</v>
      </c>
      <c r="E99" s="23" t="s">
        <v>11</v>
      </c>
      <c r="F99" s="23">
        <v>18.5</v>
      </c>
      <c r="G99" s="23" t="s">
        <v>11</v>
      </c>
      <c r="H99" s="7">
        <v>4.0299999999999994</v>
      </c>
      <c r="I99" s="23" t="s">
        <v>12</v>
      </c>
      <c r="J99" s="7" t="s">
        <v>20</v>
      </c>
      <c r="K99" s="23" t="s">
        <v>20</v>
      </c>
      <c r="L99" s="23">
        <v>4.0299999999999994</v>
      </c>
      <c r="M99" s="23" t="s">
        <v>12</v>
      </c>
      <c r="N99" s="8" t="s">
        <v>13</v>
      </c>
      <c r="O99" s="7">
        <v>129</v>
      </c>
      <c r="P99" s="6" t="s">
        <v>23</v>
      </c>
      <c r="Q99" s="7" t="s">
        <v>20</v>
      </c>
      <c r="R99" s="6" t="s">
        <v>20</v>
      </c>
      <c r="S99" s="23" t="s">
        <v>13</v>
      </c>
      <c r="T99" s="24" t="s">
        <v>288</v>
      </c>
    </row>
    <row r="100" spans="1:20" x14ac:dyDescent="0.3">
      <c r="A100" s="17">
        <v>99</v>
      </c>
      <c r="B100" s="6" t="s">
        <v>363</v>
      </c>
      <c r="C100" s="6" t="s">
        <v>360</v>
      </c>
      <c r="D100" s="7">
        <v>52.839999999999996</v>
      </c>
      <c r="E100" s="23" t="s">
        <v>11</v>
      </c>
      <c r="F100" s="23">
        <v>36.989999999999995</v>
      </c>
      <c r="G100" s="23" t="s">
        <v>11</v>
      </c>
      <c r="H100" s="7">
        <v>5.37</v>
      </c>
      <c r="I100" s="23" t="s">
        <v>12</v>
      </c>
      <c r="J100" s="7" t="s">
        <v>20</v>
      </c>
      <c r="K100" s="23" t="s">
        <v>20</v>
      </c>
      <c r="L100" s="23">
        <v>5.37</v>
      </c>
      <c r="M100" s="23" t="s">
        <v>12</v>
      </c>
      <c r="N100" s="8" t="s">
        <v>13</v>
      </c>
      <c r="O100" s="7">
        <v>104</v>
      </c>
      <c r="P100" s="6" t="s">
        <v>23</v>
      </c>
      <c r="Q100" s="7" t="s">
        <v>20</v>
      </c>
      <c r="R100" s="6" t="s">
        <v>20</v>
      </c>
      <c r="S100" s="23" t="s">
        <v>13</v>
      </c>
      <c r="T100" s="24" t="s">
        <v>288</v>
      </c>
    </row>
    <row r="101" spans="1:20" x14ac:dyDescent="0.3">
      <c r="A101" s="17">
        <v>100</v>
      </c>
      <c r="B101" s="6" t="s">
        <v>364</v>
      </c>
      <c r="C101" s="6" t="s">
        <v>360</v>
      </c>
      <c r="D101" s="7">
        <v>79.260000000000005</v>
      </c>
      <c r="E101" s="23" t="s">
        <v>11</v>
      </c>
      <c r="F101" s="23">
        <v>55.48</v>
      </c>
      <c r="G101" s="23" t="s">
        <v>11</v>
      </c>
      <c r="H101" s="7">
        <v>7.38</v>
      </c>
      <c r="I101" s="23" t="s">
        <v>12</v>
      </c>
      <c r="J101" s="7" t="s">
        <v>20</v>
      </c>
      <c r="K101" s="23" t="s">
        <v>20</v>
      </c>
      <c r="L101" s="23">
        <v>7.38</v>
      </c>
      <c r="M101" s="23" t="s">
        <v>12</v>
      </c>
      <c r="N101" s="8" t="s">
        <v>13</v>
      </c>
      <c r="O101" s="7">
        <v>89</v>
      </c>
      <c r="P101" s="6" t="s">
        <v>23</v>
      </c>
      <c r="Q101" s="7" t="s">
        <v>20</v>
      </c>
      <c r="R101" s="6" t="s">
        <v>20</v>
      </c>
      <c r="S101" s="23" t="s">
        <v>13</v>
      </c>
      <c r="T101" s="24" t="s">
        <v>288</v>
      </c>
    </row>
    <row r="102" spans="1:20" x14ac:dyDescent="0.3">
      <c r="A102" s="17">
        <v>101</v>
      </c>
      <c r="B102" s="6" t="s">
        <v>365</v>
      </c>
      <c r="C102" s="6" t="s">
        <v>360</v>
      </c>
      <c r="D102" s="7">
        <v>132.09</v>
      </c>
      <c r="E102" s="23" t="s">
        <v>11</v>
      </c>
      <c r="F102" s="23">
        <v>92.47</v>
      </c>
      <c r="G102" s="23" t="s">
        <v>11</v>
      </c>
      <c r="H102" s="7">
        <v>10.06</v>
      </c>
      <c r="I102" s="23" t="s">
        <v>12</v>
      </c>
      <c r="J102" s="7" t="s">
        <v>20</v>
      </c>
      <c r="K102" s="23" t="s">
        <v>20</v>
      </c>
      <c r="L102" s="23">
        <v>10.06</v>
      </c>
      <c r="M102" s="23" t="s">
        <v>12</v>
      </c>
      <c r="N102" s="8" t="s">
        <v>13</v>
      </c>
      <c r="O102" s="7">
        <v>74</v>
      </c>
      <c r="P102" s="6" t="s">
        <v>23</v>
      </c>
      <c r="Q102" s="7" t="s">
        <v>20</v>
      </c>
      <c r="R102" s="6" t="s">
        <v>20</v>
      </c>
      <c r="S102" s="23" t="s">
        <v>13</v>
      </c>
      <c r="T102" s="24" t="s">
        <v>288</v>
      </c>
    </row>
    <row r="103" spans="1:20" x14ac:dyDescent="0.3">
      <c r="A103" s="17">
        <v>102</v>
      </c>
      <c r="B103" s="6" t="s">
        <v>366</v>
      </c>
      <c r="C103" s="6" t="s">
        <v>360</v>
      </c>
      <c r="D103" s="7">
        <v>198.13</v>
      </c>
      <c r="E103" s="23" t="s">
        <v>11</v>
      </c>
      <c r="F103" s="23">
        <v>138.69999999999999</v>
      </c>
      <c r="G103" s="23" t="s">
        <v>11</v>
      </c>
      <c r="H103" s="7">
        <v>14.76</v>
      </c>
      <c r="I103" s="23" t="s">
        <v>12</v>
      </c>
      <c r="J103" s="7" t="s">
        <v>20</v>
      </c>
      <c r="K103" s="23" t="s">
        <v>20</v>
      </c>
      <c r="L103" s="23">
        <v>14.76</v>
      </c>
      <c r="M103" s="23" t="s">
        <v>12</v>
      </c>
      <c r="N103" s="8" t="s">
        <v>13</v>
      </c>
      <c r="O103" s="7">
        <v>67</v>
      </c>
      <c r="P103" s="6" t="s">
        <v>23</v>
      </c>
      <c r="Q103" s="7" t="s">
        <v>20</v>
      </c>
      <c r="R103" s="6" t="s">
        <v>20</v>
      </c>
      <c r="S103" s="23" t="s">
        <v>13</v>
      </c>
      <c r="T103" s="24" t="s">
        <v>288</v>
      </c>
    </row>
    <row r="104" spans="1:20" x14ac:dyDescent="0.3">
      <c r="A104" s="17">
        <v>103</v>
      </c>
      <c r="B104" s="6" t="s">
        <v>367</v>
      </c>
      <c r="C104" s="6" t="s">
        <v>360</v>
      </c>
      <c r="D104" s="7">
        <v>264.18</v>
      </c>
      <c r="E104" s="23" t="s">
        <v>11</v>
      </c>
      <c r="F104" s="23">
        <v>184.92999999999998</v>
      </c>
      <c r="G104" s="23" t="s">
        <v>11</v>
      </c>
      <c r="H104" s="7">
        <v>14.76</v>
      </c>
      <c r="I104" s="23" t="s">
        <v>12</v>
      </c>
      <c r="J104" s="7" t="s">
        <v>20</v>
      </c>
      <c r="K104" s="23" t="s">
        <v>20</v>
      </c>
      <c r="L104" s="23">
        <v>14.76</v>
      </c>
      <c r="M104" s="23" t="s">
        <v>12</v>
      </c>
      <c r="N104" s="8" t="s">
        <v>13</v>
      </c>
      <c r="O104" s="7">
        <v>58</v>
      </c>
      <c r="P104" s="6" t="s">
        <v>23</v>
      </c>
      <c r="Q104" s="7" t="s">
        <v>20</v>
      </c>
      <c r="R104" s="6" t="s">
        <v>20</v>
      </c>
      <c r="S104" s="23" t="s">
        <v>13</v>
      </c>
      <c r="T104" s="24" t="s">
        <v>288</v>
      </c>
    </row>
    <row r="105" spans="1:20" x14ac:dyDescent="0.3">
      <c r="A105" s="17">
        <v>104</v>
      </c>
      <c r="B105" s="6" t="s">
        <v>368</v>
      </c>
      <c r="C105" s="6" t="s">
        <v>360</v>
      </c>
      <c r="D105" s="7">
        <v>396.26</v>
      </c>
      <c r="E105" s="23" t="s">
        <v>11</v>
      </c>
      <c r="F105" s="23">
        <v>277.39</v>
      </c>
      <c r="G105" s="23" t="s">
        <v>11</v>
      </c>
      <c r="H105" s="7">
        <v>20.12</v>
      </c>
      <c r="I105" s="23" t="s">
        <v>12</v>
      </c>
      <c r="J105" s="7" t="s">
        <v>20</v>
      </c>
      <c r="K105" s="23" t="s">
        <v>20</v>
      </c>
      <c r="L105" s="23">
        <v>20.12</v>
      </c>
      <c r="M105" s="23" t="s">
        <v>12</v>
      </c>
      <c r="N105" s="8" t="s">
        <v>13</v>
      </c>
      <c r="O105" s="7">
        <v>51</v>
      </c>
      <c r="P105" s="6" t="s">
        <v>23</v>
      </c>
      <c r="Q105" s="7" t="s">
        <v>20</v>
      </c>
      <c r="R105" s="6" t="s">
        <v>20</v>
      </c>
      <c r="S105" s="23" t="s">
        <v>13</v>
      </c>
      <c r="T105" s="24" t="s">
        <v>288</v>
      </c>
    </row>
    <row r="106" spans="1:20" x14ac:dyDescent="0.3">
      <c r="A106" s="17">
        <v>105</v>
      </c>
      <c r="B106" s="6" t="s">
        <v>369</v>
      </c>
      <c r="C106" s="6" t="s">
        <v>360</v>
      </c>
      <c r="D106" s="7">
        <v>528.35</v>
      </c>
      <c r="E106" s="23" t="s">
        <v>11</v>
      </c>
      <c r="F106" s="23">
        <v>369.84999999999997</v>
      </c>
      <c r="G106" s="23" t="s">
        <v>11</v>
      </c>
      <c r="H106" s="7">
        <v>24.810000000000002</v>
      </c>
      <c r="I106" s="23" t="s">
        <v>12</v>
      </c>
      <c r="J106" s="7" t="s">
        <v>20</v>
      </c>
      <c r="K106" s="23" t="s">
        <v>20</v>
      </c>
      <c r="L106" s="23">
        <v>24.810000000000002</v>
      </c>
      <c r="M106" s="23" t="s">
        <v>12</v>
      </c>
      <c r="N106" s="8" t="s">
        <v>13</v>
      </c>
      <c r="O106" s="7">
        <v>49</v>
      </c>
      <c r="P106" s="6" t="s">
        <v>23</v>
      </c>
      <c r="Q106" s="7" t="s">
        <v>20</v>
      </c>
      <c r="R106" s="6" t="s">
        <v>20</v>
      </c>
      <c r="S106" s="23" t="s">
        <v>13</v>
      </c>
      <c r="T106" s="24" t="s">
        <v>288</v>
      </c>
    </row>
    <row r="107" spans="1:20" x14ac:dyDescent="0.3">
      <c r="A107" s="17">
        <v>106</v>
      </c>
      <c r="B107" s="6" t="s">
        <v>370</v>
      </c>
      <c r="C107" s="6" t="s">
        <v>360</v>
      </c>
      <c r="D107" s="7">
        <v>792.52</v>
      </c>
      <c r="E107" s="23" t="s">
        <v>11</v>
      </c>
      <c r="F107" s="23">
        <v>554.77</v>
      </c>
      <c r="G107" s="23" t="s">
        <v>11</v>
      </c>
      <c r="H107" s="7">
        <v>29.51</v>
      </c>
      <c r="I107" s="23" t="s">
        <v>12</v>
      </c>
      <c r="J107" s="7" t="s">
        <v>20</v>
      </c>
      <c r="K107" s="23" t="s">
        <v>20</v>
      </c>
      <c r="L107" s="23">
        <v>29.51</v>
      </c>
      <c r="M107" s="23" t="s">
        <v>12</v>
      </c>
      <c r="N107" s="8" t="s">
        <v>13</v>
      </c>
      <c r="O107" s="7">
        <v>43</v>
      </c>
      <c r="P107" s="6" t="s">
        <v>23</v>
      </c>
      <c r="Q107" s="7" t="s">
        <v>20</v>
      </c>
      <c r="R107" s="6" t="s">
        <v>20</v>
      </c>
      <c r="S107" s="23" t="s">
        <v>13</v>
      </c>
      <c r="T107" s="24" t="s">
        <v>288</v>
      </c>
    </row>
    <row r="108" spans="1:20" x14ac:dyDescent="0.3">
      <c r="A108" s="17">
        <v>107</v>
      </c>
      <c r="B108" s="6" t="s">
        <v>371</v>
      </c>
      <c r="C108" s="6" t="s">
        <v>360</v>
      </c>
      <c r="D108" s="7">
        <v>1056.69</v>
      </c>
      <c r="E108" s="23" t="s">
        <v>11</v>
      </c>
      <c r="F108" s="23">
        <v>739.68999999999994</v>
      </c>
      <c r="G108" s="23" t="s">
        <v>11</v>
      </c>
      <c r="H108" s="7">
        <v>40.239999999999995</v>
      </c>
      <c r="I108" s="23" t="s">
        <v>12</v>
      </c>
      <c r="J108" s="7" t="s">
        <v>20</v>
      </c>
      <c r="K108" s="23" t="s">
        <v>20</v>
      </c>
      <c r="L108" s="23">
        <v>40.239999999999995</v>
      </c>
      <c r="M108" s="23" t="s">
        <v>12</v>
      </c>
      <c r="N108" s="8" t="s">
        <v>13</v>
      </c>
      <c r="O108" s="7">
        <v>38</v>
      </c>
      <c r="P108" s="6" t="s">
        <v>23</v>
      </c>
      <c r="Q108" s="7" t="s">
        <v>20</v>
      </c>
      <c r="R108" s="6" t="s">
        <v>20</v>
      </c>
      <c r="S108" s="23" t="s">
        <v>13</v>
      </c>
      <c r="T108" s="24" t="s">
        <v>288</v>
      </c>
    </row>
    <row r="109" spans="1:20" x14ac:dyDescent="0.3">
      <c r="A109" s="17">
        <v>108</v>
      </c>
      <c r="B109" s="6" t="s">
        <v>372</v>
      </c>
      <c r="C109" s="6" t="s">
        <v>360</v>
      </c>
      <c r="D109" s="7">
        <v>1320.87</v>
      </c>
      <c r="E109" s="23" t="s">
        <v>11</v>
      </c>
      <c r="F109" s="23">
        <v>924.61</v>
      </c>
      <c r="G109" s="23" t="s">
        <v>11</v>
      </c>
      <c r="H109" s="7">
        <v>49.62</v>
      </c>
      <c r="I109" s="23" t="s">
        <v>12</v>
      </c>
      <c r="J109" s="7" t="s">
        <v>20</v>
      </c>
      <c r="K109" s="23" t="s">
        <v>20</v>
      </c>
      <c r="L109" s="23">
        <v>49.62</v>
      </c>
      <c r="M109" s="23" t="s">
        <v>12</v>
      </c>
      <c r="N109" s="8" t="s">
        <v>13</v>
      </c>
      <c r="O109" s="7">
        <v>36</v>
      </c>
      <c r="P109" s="6" t="s">
        <v>23</v>
      </c>
      <c r="Q109" s="7" t="s">
        <v>20</v>
      </c>
      <c r="R109" s="6" t="s">
        <v>20</v>
      </c>
      <c r="S109" s="23" t="s">
        <v>13</v>
      </c>
      <c r="T109" s="24" t="s">
        <v>288</v>
      </c>
    </row>
    <row r="110" spans="1:20" x14ac:dyDescent="0.3">
      <c r="A110" s="17">
        <v>109</v>
      </c>
      <c r="B110" s="6" t="s">
        <v>373</v>
      </c>
      <c r="C110" s="6" t="s">
        <v>360</v>
      </c>
      <c r="D110" s="7">
        <v>1585.04</v>
      </c>
      <c r="E110" s="23" t="s">
        <v>11</v>
      </c>
      <c r="F110" s="23">
        <v>1109.53</v>
      </c>
      <c r="G110" s="23" t="s">
        <v>11</v>
      </c>
      <c r="H110" s="7">
        <v>49.62</v>
      </c>
      <c r="I110" s="23" t="s">
        <v>12</v>
      </c>
      <c r="J110" s="7" t="s">
        <v>20</v>
      </c>
      <c r="K110" s="23" t="s">
        <v>20</v>
      </c>
      <c r="L110" s="23">
        <v>49.62</v>
      </c>
      <c r="M110" s="23" t="s">
        <v>12</v>
      </c>
      <c r="N110" s="8" t="s">
        <v>13</v>
      </c>
      <c r="O110" s="7">
        <v>33</v>
      </c>
      <c r="P110" s="6" t="s">
        <v>23</v>
      </c>
      <c r="Q110" s="7" t="s">
        <v>20</v>
      </c>
      <c r="R110" s="6" t="s">
        <v>20</v>
      </c>
      <c r="S110" s="23" t="s">
        <v>13</v>
      </c>
      <c r="T110" s="24" t="s">
        <v>288</v>
      </c>
    </row>
    <row r="111" spans="1:20" x14ac:dyDescent="0.3">
      <c r="A111" s="17">
        <v>110</v>
      </c>
      <c r="B111" s="6" t="s">
        <v>374</v>
      </c>
      <c r="C111" s="6" t="s">
        <v>360</v>
      </c>
      <c r="D111" s="7">
        <v>2113.38</v>
      </c>
      <c r="E111" s="23" t="s">
        <v>11</v>
      </c>
      <c r="F111" s="23">
        <v>1479.37</v>
      </c>
      <c r="G111" s="23" t="s">
        <v>11</v>
      </c>
      <c r="H111" s="7">
        <v>60.35</v>
      </c>
      <c r="I111" s="23" t="s">
        <v>12</v>
      </c>
      <c r="J111" s="7" t="s">
        <v>20</v>
      </c>
      <c r="K111" s="23" t="s">
        <v>20</v>
      </c>
      <c r="L111" s="23">
        <v>60.35</v>
      </c>
      <c r="M111" s="23" t="s">
        <v>12</v>
      </c>
      <c r="N111" s="8" t="s">
        <v>13</v>
      </c>
      <c r="O111" s="7">
        <v>30</v>
      </c>
      <c r="P111" s="6" t="s">
        <v>23</v>
      </c>
      <c r="Q111" s="7" t="s">
        <v>20</v>
      </c>
      <c r="R111" s="6" t="s">
        <v>20</v>
      </c>
      <c r="S111" s="23" t="s">
        <v>13</v>
      </c>
      <c r="T111" s="24" t="s">
        <v>288</v>
      </c>
    </row>
    <row r="112" spans="1:20" x14ac:dyDescent="0.3">
      <c r="A112" s="17">
        <v>111</v>
      </c>
      <c r="B112" s="6" t="s">
        <v>375</v>
      </c>
      <c r="C112" s="6" t="s">
        <v>360</v>
      </c>
      <c r="D112" s="7">
        <v>2641.73</v>
      </c>
      <c r="E112" s="23" t="s">
        <v>11</v>
      </c>
      <c r="F112" s="23">
        <v>1849.21</v>
      </c>
      <c r="G112" s="23" t="s">
        <v>11</v>
      </c>
      <c r="H112" s="7">
        <v>73.760000000000005</v>
      </c>
      <c r="I112" s="23" t="s">
        <v>12</v>
      </c>
      <c r="J112" s="7" t="s">
        <v>20</v>
      </c>
      <c r="K112" s="23" t="s">
        <v>20</v>
      </c>
      <c r="L112" s="23">
        <v>73.760000000000005</v>
      </c>
      <c r="M112" s="23" t="s">
        <v>12</v>
      </c>
      <c r="N112" s="8" t="s">
        <v>13</v>
      </c>
      <c r="O112" s="7">
        <v>28</v>
      </c>
      <c r="P112" s="6" t="s">
        <v>23</v>
      </c>
      <c r="Q112" s="7" t="s">
        <v>20</v>
      </c>
      <c r="R112" s="6" t="s">
        <v>20</v>
      </c>
      <c r="S112" s="23" t="s">
        <v>13</v>
      </c>
      <c r="T112" s="24" t="s">
        <v>288</v>
      </c>
    </row>
    <row r="113" spans="1:20" x14ac:dyDescent="0.3">
      <c r="A113" s="17">
        <v>112</v>
      </c>
      <c r="B113" s="6" t="s">
        <v>376</v>
      </c>
      <c r="C113" s="6" t="s">
        <v>360</v>
      </c>
      <c r="D113" s="7">
        <v>3170.07</v>
      </c>
      <c r="E113" s="23" t="s">
        <v>11</v>
      </c>
      <c r="F113" s="23">
        <v>2219.0500000000002</v>
      </c>
      <c r="G113" s="23" t="s">
        <v>11</v>
      </c>
      <c r="H113" s="7">
        <v>100.58</v>
      </c>
      <c r="I113" s="23" t="s">
        <v>12</v>
      </c>
      <c r="J113" s="7" t="s">
        <v>20</v>
      </c>
      <c r="K113" s="23" t="s">
        <v>20</v>
      </c>
      <c r="L113" s="23">
        <v>100.58</v>
      </c>
      <c r="M113" s="23" t="s">
        <v>12</v>
      </c>
      <c r="N113" s="8" t="s">
        <v>13</v>
      </c>
      <c r="O113" s="7">
        <v>26</v>
      </c>
      <c r="P113" s="6" t="s">
        <v>23</v>
      </c>
      <c r="Q113" s="7" t="s">
        <v>20</v>
      </c>
      <c r="R113" s="6" t="s">
        <v>20</v>
      </c>
      <c r="S113" s="23" t="s">
        <v>13</v>
      </c>
      <c r="T113" s="24" t="s">
        <v>288</v>
      </c>
    </row>
    <row r="114" spans="1:20" x14ac:dyDescent="0.3">
      <c r="A114" s="17">
        <v>113</v>
      </c>
      <c r="B114" s="6" t="s">
        <v>377</v>
      </c>
      <c r="C114" s="6" t="s">
        <v>360</v>
      </c>
      <c r="D114" s="7">
        <v>3962.59</v>
      </c>
      <c r="E114" s="23" t="s">
        <v>11</v>
      </c>
      <c r="F114" s="23">
        <v>2773.8100000000004</v>
      </c>
      <c r="G114" s="23" t="s">
        <v>11</v>
      </c>
      <c r="H114" s="7">
        <v>120.7</v>
      </c>
      <c r="I114" s="23" t="s">
        <v>12</v>
      </c>
      <c r="J114" s="7" t="s">
        <v>20</v>
      </c>
      <c r="K114" s="23" t="s">
        <v>20</v>
      </c>
      <c r="L114" s="23">
        <v>120.7</v>
      </c>
      <c r="M114" s="23" t="s">
        <v>12</v>
      </c>
      <c r="N114" s="8" t="s">
        <v>13</v>
      </c>
      <c r="O114" s="7">
        <v>24</v>
      </c>
      <c r="P114" s="6" t="s">
        <v>23</v>
      </c>
      <c r="Q114" s="7" t="s">
        <v>20</v>
      </c>
      <c r="R114" s="6" t="s">
        <v>20</v>
      </c>
      <c r="S114" s="23" t="s">
        <v>13</v>
      </c>
      <c r="T114" s="24" t="s">
        <v>288</v>
      </c>
    </row>
    <row r="115" spans="1:20" x14ac:dyDescent="0.3">
      <c r="A115" s="17">
        <v>114</v>
      </c>
      <c r="B115" s="6" t="s">
        <v>378</v>
      </c>
      <c r="C115" s="6" t="s">
        <v>263</v>
      </c>
      <c r="D115" s="7">
        <v>254.47</v>
      </c>
      <c r="E115" s="23" t="s">
        <v>11</v>
      </c>
      <c r="F115" s="23">
        <v>132.09</v>
      </c>
      <c r="G115" s="23" t="s">
        <v>11</v>
      </c>
      <c r="H115" s="7">
        <v>2.96</v>
      </c>
      <c r="I115" s="23" t="s">
        <v>12</v>
      </c>
      <c r="J115" s="7" t="s">
        <v>20</v>
      </c>
      <c r="K115" s="23" t="s">
        <v>20</v>
      </c>
      <c r="L115" s="23">
        <v>2.96</v>
      </c>
      <c r="M115" s="23" t="s">
        <v>12</v>
      </c>
      <c r="N115" s="8" t="s">
        <v>13</v>
      </c>
      <c r="O115" s="7" t="s">
        <v>13</v>
      </c>
      <c r="P115" s="6" t="s">
        <v>23</v>
      </c>
      <c r="Q115" s="7" t="s">
        <v>20</v>
      </c>
      <c r="R115" s="6" t="s">
        <v>20</v>
      </c>
      <c r="S115" s="23" t="s">
        <v>13</v>
      </c>
      <c r="T115" s="24" t="s">
        <v>270</v>
      </c>
    </row>
    <row r="116" spans="1:20" x14ac:dyDescent="0.3">
      <c r="A116" s="17">
        <v>115</v>
      </c>
      <c r="B116" s="6" t="s">
        <v>379</v>
      </c>
      <c r="C116" s="6" t="s">
        <v>263</v>
      </c>
      <c r="D116" s="7">
        <v>504.18</v>
      </c>
      <c r="E116" s="23" t="s">
        <v>11</v>
      </c>
      <c r="F116" s="23">
        <v>264.18</v>
      </c>
      <c r="G116" s="23" t="s">
        <v>11</v>
      </c>
      <c r="H116" s="7">
        <v>7.38</v>
      </c>
      <c r="I116" s="23" t="s">
        <v>12</v>
      </c>
      <c r="J116" s="7" t="s">
        <v>20</v>
      </c>
      <c r="K116" s="23" t="s">
        <v>20</v>
      </c>
      <c r="L116" s="23">
        <v>7.38</v>
      </c>
      <c r="M116" s="23" t="s">
        <v>12</v>
      </c>
      <c r="N116" s="8" t="s">
        <v>13</v>
      </c>
      <c r="O116" s="7" t="s">
        <v>13</v>
      </c>
      <c r="P116" s="6" t="s">
        <v>23</v>
      </c>
      <c r="Q116" s="7" t="s">
        <v>20</v>
      </c>
      <c r="R116" s="6" t="s">
        <v>20</v>
      </c>
      <c r="S116" s="23" t="s">
        <v>13</v>
      </c>
      <c r="T116" s="24" t="s">
        <v>270</v>
      </c>
    </row>
    <row r="117" spans="1:20" x14ac:dyDescent="0.3">
      <c r="A117" s="17">
        <v>116</v>
      </c>
      <c r="B117" s="6" t="s">
        <v>380</v>
      </c>
      <c r="C117" s="6" t="s">
        <v>263</v>
      </c>
      <c r="D117" s="7">
        <v>853.99</v>
      </c>
      <c r="E117" s="23" t="s">
        <v>11</v>
      </c>
      <c r="F117" s="23">
        <v>528.35</v>
      </c>
      <c r="G117" s="23" t="s">
        <v>11</v>
      </c>
      <c r="H117" s="7">
        <v>10.06</v>
      </c>
      <c r="I117" s="23" t="s">
        <v>12</v>
      </c>
      <c r="J117" s="7" t="s">
        <v>20</v>
      </c>
      <c r="K117" s="23" t="s">
        <v>20</v>
      </c>
      <c r="L117" s="23">
        <v>10.06</v>
      </c>
      <c r="M117" s="23" t="s">
        <v>12</v>
      </c>
      <c r="N117" s="8" t="s">
        <v>13</v>
      </c>
      <c r="O117" s="7" t="s">
        <v>13</v>
      </c>
      <c r="P117" s="6" t="s">
        <v>23</v>
      </c>
      <c r="Q117" s="7" t="s">
        <v>20</v>
      </c>
      <c r="R117" s="6" t="s">
        <v>20</v>
      </c>
      <c r="S117" s="23" t="s">
        <v>13</v>
      </c>
      <c r="T117" s="24" t="s">
        <v>270</v>
      </c>
    </row>
    <row r="118" spans="1:20" x14ac:dyDescent="0.3">
      <c r="A118" s="17">
        <v>117</v>
      </c>
      <c r="B118" s="6" t="s">
        <v>381</v>
      </c>
      <c r="C118" s="6" t="s">
        <v>263</v>
      </c>
      <c r="D118" s="7">
        <v>2134.67</v>
      </c>
      <c r="E118" s="23" t="s">
        <v>11</v>
      </c>
      <c r="F118" s="23">
        <v>1320.87</v>
      </c>
      <c r="G118" s="23" t="s">
        <v>11</v>
      </c>
      <c r="H118" s="7">
        <v>20.12</v>
      </c>
      <c r="I118" s="23" t="s">
        <v>12</v>
      </c>
      <c r="J118" s="7" t="s">
        <v>20</v>
      </c>
      <c r="K118" s="23" t="s">
        <v>20</v>
      </c>
      <c r="L118" s="23">
        <v>20.12</v>
      </c>
      <c r="M118" s="23" t="s">
        <v>12</v>
      </c>
      <c r="N118" s="8" t="s">
        <v>13</v>
      </c>
      <c r="O118" s="7" t="s">
        <v>13</v>
      </c>
      <c r="P118" s="6" t="s">
        <v>23</v>
      </c>
      <c r="Q118" s="7" t="s">
        <v>20</v>
      </c>
      <c r="R118" s="6" t="s">
        <v>20</v>
      </c>
      <c r="S118" s="23" t="s">
        <v>13</v>
      </c>
      <c r="T118" s="24" t="s">
        <v>270</v>
      </c>
    </row>
    <row r="119" spans="1:20" x14ac:dyDescent="0.3">
      <c r="A119" s="17">
        <v>118</v>
      </c>
      <c r="B119" s="6" t="s">
        <v>382</v>
      </c>
      <c r="C119" s="6" t="s">
        <v>263</v>
      </c>
      <c r="D119" s="7">
        <v>4357.96</v>
      </c>
      <c r="E119" s="23" t="s">
        <v>11</v>
      </c>
      <c r="F119" s="23">
        <v>2641.73</v>
      </c>
      <c r="G119" s="23" t="s">
        <v>11</v>
      </c>
      <c r="H119" s="7">
        <v>29.51</v>
      </c>
      <c r="I119" s="23" t="s">
        <v>12</v>
      </c>
      <c r="J119" s="7" t="s">
        <v>20</v>
      </c>
      <c r="K119" s="23" t="s">
        <v>20</v>
      </c>
      <c r="L119" s="23">
        <v>29.51</v>
      </c>
      <c r="M119" s="23" t="s">
        <v>12</v>
      </c>
      <c r="N119" s="8" t="s">
        <v>13</v>
      </c>
      <c r="O119" s="7" t="s">
        <v>13</v>
      </c>
      <c r="P119" s="6" t="s">
        <v>23</v>
      </c>
      <c r="Q119" s="7" t="s">
        <v>20</v>
      </c>
      <c r="R119" s="6" t="s">
        <v>20</v>
      </c>
      <c r="S119" s="23" t="s">
        <v>13</v>
      </c>
      <c r="T119" s="24" t="s">
        <v>270</v>
      </c>
    </row>
    <row r="120" spans="1:20" x14ac:dyDescent="0.3">
      <c r="A120" s="17">
        <v>119</v>
      </c>
      <c r="B120" s="6" t="s">
        <v>383</v>
      </c>
      <c r="C120" s="6" t="s">
        <v>263</v>
      </c>
      <c r="D120" s="7">
        <v>8033.64</v>
      </c>
      <c r="E120" s="23" t="s">
        <v>11</v>
      </c>
      <c r="F120" s="23">
        <v>5283.45</v>
      </c>
      <c r="G120" s="23" t="s">
        <v>11</v>
      </c>
      <c r="H120" s="7">
        <v>49.62</v>
      </c>
      <c r="I120" s="23" t="s">
        <v>12</v>
      </c>
      <c r="J120" s="7" t="s">
        <v>20</v>
      </c>
      <c r="K120" s="23" t="s">
        <v>20</v>
      </c>
      <c r="L120" s="23">
        <v>49.62</v>
      </c>
      <c r="M120" s="23" t="s">
        <v>12</v>
      </c>
      <c r="N120" s="8" t="s">
        <v>13</v>
      </c>
      <c r="O120" s="7" t="s">
        <v>13</v>
      </c>
      <c r="P120" s="6" t="s">
        <v>23</v>
      </c>
      <c r="Q120" s="7" t="s">
        <v>20</v>
      </c>
      <c r="R120" s="6" t="s">
        <v>20</v>
      </c>
      <c r="S120" s="23" t="s">
        <v>13</v>
      </c>
      <c r="T120" s="24" t="s">
        <v>270</v>
      </c>
    </row>
    <row r="121" spans="1:20" x14ac:dyDescent="0.3">
      <c r="A121" s="17">
        <v>120</v>
      </c>
      <c r="B121" s="6" t="s">
        <v>384</v>
      </c>
      <c r="C121" s="6" t="s">
        <v>263</v>
      </c>
      <c r="D121" s="7">
        <v>18537.849999999999</v>
      </c>
      <c r="E121" s="23" t="s">
        <v>11</v>
      </c>
      <c r="F121" s="23">
        <v>13208.61</v>
      </c>
      <c r="G121" s="23" t="s">
        <v>11</v>
      </c>
      <c r="H121" s="7">
        <v>73.760000000000005</v>
      </c>
      <c r="I121" s="23" t="s">
        <v>12</v>
      </c>
      <c r="J121" s="7" t="s">
        <v>20</v>
      </c>
      <c r="K121" s="23" t="s">
        <v>20</v>
      </c>
      <c r="L121" s="23">
        <v>73.760000000000005</v>
      </c>
      <c r="M121" s="23" t="s">
        <v>12</v>
      </c>
      <c r="N121" s="8" t="s">
        <v>13</v>
      </c>
      <c r="O121" s="7" t="s">
        <v>13</v>
      </c>
      <c r="P121" s="6" t="s">
        <v>23</v>
      </c>
      <c r="Q121" s="7" t="s">
        <v>20</v>
      </c>
      <c r="R121" s="6" t="s">
        <v>20</v>
      </c>
      <c r="S121" s="23" t="s">
        <v>13</v>
      </c>
      <c r="T121" s="24" t="s">
        <v>270</v>
      </c>
    </row>
    <row r="122" spans="1:20" x14ac:dyDescent="0.3">
      <c r="A122" s="17">
        <v>121</v>
      </c>
      <c r="B122" s="6" t="s">
        <v>385</v>
      </c>
      <c r="C122" s="6" t="s">
        <v>263</v>
      </c>
      <c r="D122" s="7">
        <v>30499.62</v>
      </c>
      <c r="E122" s="23" t="s">
        <v>11</v>
      </c>
      <c r="F122" s="23">
        <v>26417.219999999998</v>
      </c>
      <c r="G122" s="23" t="s">
        <v>11</v>
      </c>
      <c r="H122" s="7">
        <v>120.7</v>
      </c>
      <c r="I122" s="23" t="s">
        <v>12</v>
      </c>
      <c r="J122" s="7" t="s">
        <v>20</v>
      </c>
      <c r="K122" s="23" t="s">
        <v>20</v>
      </c>
      <c r="L122" s="23">
        <v>120.7</v>
      </c>
      <c r="M122" s="23" t="s">
        <v>12</v>
      </c>
      <c r="N122" s="8" t="s">
        <v>13</v>
      </c>
      <c r="O122" s="7" t="s">
        <v>13</v>
      </c>
      <c r="P122" s="6" t="s">
        <v>23</v>
      </c>
      <c r="Q122" s="7" t="s">
        <v>20</v>
      </c>
      <c r="R122" s="6" t="s">
        <v>20</v>
      </c>
      <c r="S122" s="23" t="s">
        <v>13</v>
      </c>
      <c r="T122" s="24" t="s">
        <v>270</v>
      </c>
    </row>
    <row r="123" spans="1:20" x14ac:dyDescent="0.3">
      <c r="A123" s="17">
        <v>122</v>
      </c>
      <c r="B123" s="6" t="s">
        <v>386</v>
      </c>
      <c r="C123" s="6" t="s">
        <v>258</v>
      </c>
      <c r="D123" s="7">
        <v>26.42</v>
      </c>
      <c r="E123" s="23" t="s">
        <v>11</v>
      </c>
      <c r="F123" s="23">
        <v>13.209999999999999</v>
      </c>
      <c r="G123" s="23" t="s">
        <v>11</v>
      </c>
      <c r="H123" s="7">
        <v>4.0299999999999994</v>
      </c>
      <c r="I123" s="23" t="s">
        <v>12</v>
      </c>
      <c r="J123" s="7" t="s">
        <v>20</v>
      </c>
      <c r="K123" s="23" t="s">
        <v>20</v>
      </c>
      <c r="L123" s="23">
        <v>4.0299999999999994</v>
      </c>
      <c r="M123" s="23" t="s">
        <v>12</v>
      </c>
      <c r="N123" s="8" t="s">
        <v>13</v>
      </c>
      <c r="O123" s="7">
        <v>76</v>
      </c>
      <c r="P123" s="6" t="s">
        <v>23</v>
      </c>
      <c r="Q123" s="7" t="s">
        <v>20</v>
      </c>
      <c r="R123" s="6" t="s">
        <v>20</v>
      </c>
      <c r="S123" s="23" t="s">
        <v>13</v>
      </c>
      <c r="T123" s="24" t="s">
        <v>288</v>
      </c>
    </row>
    <row r="124" spans="1:20" x14ac:dyDescent="0.3">
      <c r="A124" s="17">
        <v>123</v>
      </c>
      <c r="B124" s="6" t="s">
        <v>387</v>
      </c>
      <c r="C124" s="6" t="s">
        <v>258</v>
      </c>
      <c r="D124" s="7">
        <v>79.260000000000005</v>
      </c>
      <c r="E124" s="23" t="s">
        <v>11</v>
      </c>
      <c r="F124" s="23">
        <v>39.629999999999995</v>
      </c>
      <c r="G124" s="23" t="s">
        <v>11</v>
      </c>
      <c r="H124" s="7">
        <v>5.37</v>
      </c>
      <c r="I124" s="23" t="s">
        <v>12</v>
      </c>
      <c r="J124" s="7" t="s">
        <v>20</v>
      </c>
      <c r="K124" s="23" t="s">
        <v>20</v>
      </c>
      <c r="L124" s="23">
        <v>5.37</v>
      </c>
      <c r="M124" s="23" t="s">
        <v>12</v>
      </c>
      <c r="N124" s="8" t="s">
        <v>13</v>
      </c>
      <c r="O124" s="7">
        <v>66</v>
      </c>
      <c r="P124" s="6" t="s">
        <v>23</v>
      </c>
      <c r="Q124" s="7" t="s">
        <v>20</v>
      </c>
      <c r="R124" s="6" t="s">
        <v>20</v>
      </c>
      <c r="S124" s="23" t="s">
        <v>13</v>
      </c>
      <c r="T124" s="24" t="s">
        <v>288</v>
      </c>
    </row>
    <row r="125" spans="1:20" x14ac:dyDescent="0.3">
      <c r="A125" s="17">
        <v>124</v>
      </c>
      <c r="B125" s="6" t="s">
        <v>388</v>
      </c>
      <c r="C125" s="6" t="s">
        <v>258</v>
      </c>
      <c r="D125" s="7">
        <v>132.09</v>
      </c>
      <c r="E125" s="23" t="s">
        <v>11</v>
      </c>
      <c r="F125" s="23">
        <v>66.050000000000011</v>
      </c>
      <c r="G125" s="23" t="s">
        <v>11</v>
      </c>
      <c r="H125" s="7">
        <v>7.38</v>
      </c>
      <c r="I125" s="23" t="s">
        <v>12</v>
      </c>
      <c r="J125" s="7" t="s">
        <v>20</v>
      </c>
      <c r="K125" s="23" t="s">
        <v>20</v>
      </c>
      <c r="L125" s="23">
        <v>7.38</v>
      </c>
      <c r="M125" s="23" t="s">
        <v>12</v>
      </c>
      <c r="N125" s="8" t="s">
        <v>13</v>
      </c>
      <c r="O125" s="7">
        <v>66</v>
      </c>
      <c r="P125" s="6" t="s">
        <v>23</v>
      </c>
      <c r="Q125" s="7" t="s">
        <v>20</v>
      </c>
      <c r="R125" s="6" t="s">
        <v>20</v>
      </c>
      <c r="S125" s="23" t="s">
        <v>13</v>
      </c>
      <c r="T125" s="24" t="s">
        <v>288</v>
      </c>
    </row>
    <row r="126" spans="1:20" x14ac:dyDescent="0.3">
      <c r="A126" s="17">
        <v>125</v>
      </c>
      <c r="B126" s="6" t="s">
        <v>389</v>
      </c>
      <c r="C126" s="6" t="s">
        <v>258</v>
      </c>
      <c r="D126" s="7">
        <v>264.18</v>
      </c>
      <c r="E126" s="23" t="s">
        <v>11</v>
      </c>
      <c r="F126" s="23">
        <v>132.09</v>
      </c>
      <c r="G126" s="23" t="s">
        <v>11</v>
      </c>
      <c r="H126" s="7">
        <v>14.76</v>
      </c>
      <c r="I126" s="23" t="s">
        <v>12</v>
      </c>
      <c r="J126" s="7" t="s">
        <v>20</v>
      </c>
      <c r="K126" s="23" t="s">
        <v>20</v>
      </c>
      <c r="L126" s="23">
        <v>14.76</v>
      </c>
      <c r="M126" s="23" t="s">
        <v>12</v>
      </c>
      <c r="N126" s="8" t="s">
        <v>13</v>
      </c>
      <c r="O126" s="7">
        <v>41</v>
      </c>
      <c r="P126" s="6" t="s">
        <v>23</v>
      </c>
      <c r="Q126" s="7" t="s">
        <v>20</v>
      </c>
      <c r="R126" s="6" t="s">
        <v>20</v>
      </c>
      <c r="S126" s="23" t="s">
        <v>13</v>
      </c>
      <c r="T126" s="24" t="s">
        <v>288</v>
      </c>
    </row>
    <row r="127" spans="1:20" x14ac:dyDescent="0.3">
      <c r="A127" s="17">
        <v>126</v>
      </c>
      <c r="B127" s="6" t="s">
        <v>390</v>
      </c>
      <c r="C127" s="6" t="s">
        <v>258</v>
      </c>
      <c r="D127" s="7">
        <v>396.26</v>
      </c>
      <c r="E127" s="23" t="s">
        <v>11</v>
      </c>
      <c r="F127" s="23">
        <v>198.13</v>
      </c>
      <c r="G127" s="23" t="s">
        <v>11</v>
      </c>
      <c r="H127" s="7">
        <v>20.12</v>
      </c>
      <c r="I127" s="23" t="s">
        <v>12</v>
      </c>
      <c r="J127" s="7" t="s">
        <v>20</v>
      </c>
      <c r="K127" s="23" t="s">
        <v>20</v>
      </c>
      <c r="L127" s="23">
        <v>20.12</v>
      </c>
      <c r="M127" s="23" t="s">
        <v>12</v>
      </c>
      <c r="N127" s="8" t="s">
        <v>13</v>
      </c>
      <c r="O127" s="7">
        <v>41</v>
      </c>
      <c r="P127" s="6" t="s">
        <v>23</v>
      </c>
      <c r="Q127" s="7" t="s">
        <v>20</v>
      </c>
      <c r="R127" s="6" t="s">
        <v>20</v>
      </c>
      <c r="S127" s="23" t="s">
        <v>13</v>
      </c>
      <c r="T127" s="24" t="s">
        <v>288</v>
      </c>
    </row>
    <row r="128" spans="1:20" x14ac:dyDescent="0.3">
      <c r="A128" s="17">
        <v>127</v>
      </c>
      <c r="B128" s="6" t="s">
        <v>391</v>
      </c>
      <c r="C128" s="6" t="s">
        <v>258</v>
      </c>
      <c r="D128" s="7">
        <v>528.35</v>
      </c>
      <c r="E128" s="23" t="s">
        <v>11</v>
      </c>
      <c r="F128" s="23">
        <v>264.18</v>
      </c>
      <c r="G128" s="23" t="s">
        <v>11</v>
      </c>
      <c r="H128" s="7">
        <v>24.810000000000002</v>
      </c>
      <c r="I128" s="23" t="s">
        <v>12</v>
      </c>
      <c r="J128" s="7" t="s">
        <v>20</v>
      </c>
      <c r="K128" s="23" t="s">
        <v>20</v>
      </c>
      <c r="L128" s="23">
        <v>24.810000000000002</v>
      </c>
      <c r="M128" s="23" t="s">
        <v>12</v>
      </c>
      <c r="N128" s="8" t="s">
        <v>13</v>
      </c>
      <c r="O128" s="7">
        <v>41</v>
      </c>
      <c r="P128" s="6" t="s">
        <v>23</v>
      </c>
      <c r="Q128" s="7" t="s">
        <v>20</v>
      </c>
      <c r="R128" s="6" t="s">
        <v>20</v>
      </c>
      <c r="S128" s="23" t="s">
        <v>13</v>
      </c>
      <c r="T128" s="24" t="s">
        <v>288</v>
      </c>
    </row>
    <row r="129" spans="1:20" x14ac:dyDescent="0.3">
      <c r="A129" s="17">
        <v>128</v>
      </c>
      <c r="B129" s="6" t="s">
        <v>392</v>
      </c>
      <c r="C129" s="6" t="s">
        <v>258</v>
      </c>
      <c r="D129" s="7">
        <v>792.52</v>
      </c>
      <c r="E129" s="23" t="s">
        <v>11</v>
      </c>
      <c r="F129" s="23">
        <v>396.26</v>
      </c>
      <c r="G129" s="23" t="s">
        <v>11</v>
      </c>
      <c r="H129" s="7">
        <v>29.51</v>
      </c>
      <c r="I129" s="23" t="s">
        <v>12</v>
      </c>
      <c r="J129" s="7" t="s">
        <v>20</v>
      </c>
      <c r="K129" s="23" t="s">
        <v>20</v>
      </c>
      <c r="L129" s="23">
        <v>29.51</v>
      </c>
      <c r="M129" s="23" t="s">
        <v>12</v>
      </c>
      <c r="N129" s="8" t="s">
        <v>13</v>
      </c>
      <c r="O129" s="7">
        <v>33</v>
      </c>
      <c r="P129" s="6" t="s">
        <v>23</v>
      </c>
      <c r="Q129" s="7" t="s">
        <v>20</v>
      </c>
      <c r="R129" s="6" t="s">
        <v>20</v>
      </c>
      <c r="S129" s="23" t="s">
        <v>13</v>
      </c>
      <c r="T129" s="24" t="s">
        <v>288</v>
      </c>
    </row>
    <row r="130" spans="1:20" x14ac:dyDescent="0.3">
      <c r="A130" s="17">
        <v>129</v>
      </c>
      <c r="B130" s="6" t="s">
        <v>393</v>
      </c>
      <c r="C130" s="6" t="s">
        <v>258</v>
      </c>
      <c r="D130" s="7">
        <v>1056.69</v>
      </c>
      <c r="E130" s="23" t="s">
        <v>11</v>
      </c>
      <c r="F130" s="23">
        <v>528.35</v>
      </c>
      <c r="G130" s="23" t="s">
        <v>11</v>
      </c>
      <c r="H130" s="7">
        <v>29.51</v>
      </c>
      <c r="I130" s="23" t="s">
        <v>12</v>
      </c>
      <c r="J130" s="7" t="s">
        <v>20</v>
      </c>
      <c r="K130" s="23" t="s">
        <v>20</v>
      </c>
      <c r="L130" s="23">
        <v>29.51</v>
      </c>
      <c r="M130" s="23" t="s">
        <v>12</v>
      </c>
      <c r="N130" s="8" t="s">
        <v>13</v>
      </c>
      <c r="O130" s="7">
        <v>33</v>
      </c>
      <c r="P130" s="6" t="s">
        <v>23</v>
      </c>
      <c r="Q130" s="7" t="s">
        <v>20</v>
      </c>
      <c r="R130" s="6" t="s">
        <v>20</v>
      </c>
      <c r="S130" s="23" t="s">
        <v>13</v>
      </c>
      <c r="T130" s="24" t="s">
        <v>288</v>
      </c>
    </row>
    <row r="131" spans="1:20" x14ac:dyDescent="0.3">
      <c r="A131" s="17">
        <v>130</v>
      </c>
      <c r="B131" s="6" t="s">
        <v>394</v>
      </c>
      <c r="C131" s="6" t="s">
        <v>258</v>
      </c>
      <c r="D131" s="7">
        <v>1320.87</v>
      </c>
      <c r="E131" s="23" t="s">
        <v>11</v>
      </c>
      <c r="F131" s="23">
        <v>660.43999999999994</v>
      </c>
      <c r="G131" s="23" t="s">
        <v>11</v>
      </c>
      <c r="H131" s="7">
        <v>40.239999999999995</v>
      </c>
      <c r="I131" s="23" t="s">
        <v>12</v>
      </c>
      <c r="J131" s="7" t="s">
        <v>20</v>
      </c>
      <c r="K131" s="23" t="s">
        <v>20</v>
      </c>
      <c r="L131" s="23">
        <v>40.239999999999995</v>
      </c>
      <c r="M131" s="23" t="s">
        <v>12</v>
      </c>
      <c r="N131" s="8" t="s">
        <v>13</v>
      </c>
      <c r="O131" s="7">
        <v>26</v>
      </c>
      <c r="P131" s="6" t="s">
        <v>23</v>
      </c>
      <c r="Q131" s="7" t="s">
        <v>20</v>
      </c>
      <c r="R131" s="6" t="s">
        <v>20</v>
      </c>
      <c r="S131" s="23" t="s">
        <v>13</v>
      </c>
      <c r="T131" s="24" t="s">
        <v>288</v>
      </c>
    </row>
    <row r="132" spans="1:20" x14ac:dyDescent="0.3">
      <c r="A132" s="17">
        <v>131</v>
      </c>
      <c r="B132" s="6" t="s">
        <v>395</v>
      </c>
      <c r="C132" s="6" t="s">
        <v>258</v>
      </c>
      <c r="D132" s="7">
        <v>1585.04</v>
      </c>
      <c r="E132" s="23" t="s">
        <v>11</v>
      </c>
      <c r="F132" s="23">
        <v>792.52</v>
      </c>
      <c r="G132" s="23" t="s">
        <v>11</v>
      </c>
      <c r="H132" s="7">
        <v>49.62</v>
      </c>
      <c r="I132" s="23" t="s">
        <v>12</v>
      </c>
      <c r="J132" s="7" t="s">
        <v>20</v>
      </c>
      <c r="K132" s="23" t="s">
        <v>20</v>
      </c>
      <c r="L132" s="23">
        <v>49.62</v>
      </c>
      <c r="M132" s="23" t="s">
        <v>12</v>
      </c>
      <c r="N132" s="8" t="s">
        <v>13</v>
      </c>
      <c r="O132" s="7">
        <v>26</v>
      </c>
      <c r="P132" s="6" t="s">
        <v>23</v>
      </c>
      <c r="Q132" s="7" t="s">
        <v>20</v>
      </c>
      <c r="R132" s="6" t="s">
        <v>20</v>
      </c>
      <c r="S132" s="23" t="s">
        <v>13</v>
      </c>
      <c r="T132" s="24" t="s">
        <v>288</v>
      </c>
    </row>
    <row r="133" spans="1:20" x14ac:dyDescent="0.3">
      <c r="A133" s="17">
        <v>132</v>
      </c>
      <c r="B133" s="6" t="s">
        <v>396</v>
      </c>
      <c r="C133" s="6" t="s">
        <v>258</v>
      </c>
      <c r="D133" s="7">
        <v>2113.38</v>
      </c>
      <c r="E133" s="23" t="s">
        <v>11</v>
      </c>
      <c r="F133" s="23">
        <v>1056.69</v>
      </c>
      <c r="G133" s="23" t="s">
        <v>11</v>
      </c>
      <c r="H133" s="7">
        <v>60.35</v>
      </c>
      <c r="I133" s="23" t="s">
        <v>12</v>
      </c>
      <c r="J133" s="7" t="s">
        <v>20</v>
      </c>
      <c r="K133" s="23" t="s">
        <v>20</v>
      </c>
      <c r="L133" s="23">
        <v>60.35</v>
      </c>
      <c r="M133" s="23" t="s">
        <v>12</v>
      </c>
      <c r="N133" s="8" t="s">
        <v>13</v>
      </c>
      <c r="O133" s="7">
        <v>26</v>
      </c>
      <c r="P133" s="6" t="s">
        <v>23</v>
      </c>
      <c r="Q133" s="7" t="s">
        <v>20</v>
      </c>
      <c r="R133" s="6" t="s">
        <v>20</v>
      </c>
      <c r="S133" s="23" t="s">
        <v>13</v>
      </c>
      <c r="T133" s="24" t="s">
        <v>288</v>
      </c>
    </row>
    <row r="134" spans="1:20" x14ac:dyDescent="0.3">
      <c r="A134" s="17">
        <v>133</v>
      </c>
      <c r="B134" s="6" t="s">
        <v>397</v>
      </c>
      <c r="C134" s="6" t="s">
        <v>258</v>
      </c>
      <c r="D134" s="7">
        <v>2641.73</v>
      </c>
      <c r="E134" s="23" t="s">
        <v>11</v>
      </c>
      <c r="F134" s="23">
        <v>1320.87</v>
      </c>
      <c r="G134" s="23" t="s">
        <v>11</v>
      </c>
      <c r="H134" s="7">
        <v>73.760000000000005</v>
      </c>
      <c r="I134" s="23" t="s">
        <v>12</v>
      </c>
      <c r="J134" s="7" t="s">
        <v>20</v>
      </c>
      <c r="K134" s="23" t="s">
        <v>20</v>
      </c>
      <c r="L134" s="23">
        <v>73.760000000000005</v>
      </c>
      <c r="M134" s="23" t="s">
        <v>12</v>
      </c>
      <c r="N134" s="8" t="s">
        <v>13</v>
      </c>
      <c r="O134" s="7">
        <v>20</v>
      </c>
      <c r="P134" s="6" t="s">
        <v>23</v>
      </c>
      <c r="Q134" s="7" t="s">
        <v>20</v>
      </c>
      <c r="R134" s="6" t="s">
        <v>20</v>
      </c>
      <c r="S134" s="23" t="s">
        <v>13</v>
      </c>
      <c r="T134" s="24" t="s">
        <v>288</v>
      </c>
    </row>
    <row r="135" spans="1:20" x14ac:dyDescent="0.3">
      <c r="A135" s="17">
        <v>134</v>
      </c>
      <c r="B135" s="6" t="s">
        <v>398</v>
      </c>
      <c r="C135" s="6" t="s">
        <v>258</v>
      </c>
      <c r="D135" s="7">
        <v>3170.07</v>
      </c>
      <c r="E135" s="23" t="s">
        <v>11</v>
      </c>
      <c r="F135" s="23">
        <v>1585.04</v>
      </c>
      <c r="G135" s="23" t="s">
        <v>11</v>
      </c>
      <c r="H135" s="7">
        <v>73.760000000000005</v>
      </c>
      <c r="I135" s="23" t="s">
        <v>12</v>
      </c>
      <c r="J135" s="7" t="s">
        <v>20</v>
      </c>
      <c r="K135" s="23" t="s">
        <v>20</v>
      </c>
      <c r="L135" s="23">
        <v>73.760000000000005</v>
      </c>
      <c r="M135" s="23" t="s">
        <v>12</v>
      </c>
      <c r="N135" s="8" t="s">
        <v>13</v>
      </c>
      <c r="O135" s="7">
        <v>20</v>
      </c>
      <c r="P135" s="6" t="s">
        <v>23</v>
      </c>
      <c r="Q135" s="7" t="s">
        <v>20</v>
      </c>
      <c r="R135" s="6" t="s">
        <v>20</v>
      </c>
      <c r="S135" s="23" t="s">
        <v>13</v>
      </c>
      <c r="T135" s="24" t="s">
        <v>288</v>
      </c>
    </row>
    <row r="136" spans="1:20" x14ac:dyDescent="0.3">
      <c r="A136" s="17">
        <v>135</v>
      </c>
      <c r="B136" s="6" t="s">
        <v>399</v>
      </c>
      <c r="C136" s="6" t="s">
        <v>258</v>
      </c>
      <c r="D136" s="7">
        <v>3962.59</v>
      </c>
      <c r="E136" s="23" t="s">
        <v>11</v>
      </c>
      <c r="F136" s="23">
        <v>1981.3</v>
      </c>
      <c r="G136" s="23" t="s">
        <v>11</v>
      </c>
      <c r="H136" s="7">
        <v>100.58</v>
      </c>
      <c r="I136" s="23" t="s">
        <v>12</v>
      </c>
      <c r="J136" s="7" t="s">
        <v>20</v>
      </c>
      <c r="K136" s="23" t="s">
        <v>20</v>
      </c>
      <c r="L136" s="23">
        <v>100.58</v>
      </c>
      <c r="M136" s="23" t="s">
        <v>12</v>
      </c>
      <c r="N136" s="8" t="s">
        <v>13</v>
      </c>
      <c r="O136" s="7">
        <v>17</v>
      </c>
      <c r="P136" s="6" t="s">
        <v>23</v>
      </c>
      <c r="Q136" s="7" t="s">
        <v>20</v>
      </c>
      <c r="R136" s="6" t="s">
        <v>20</v>
      </c>
      <c r="S136" s="23" t="s">
        <v>13</v>
      </c>
      <c r="T136" s="24" t="s">
        <v>288</v>
      </c>
    </row>
    <row r="137" spans="1:20" x14ac:dyDescent="0.3">
      <c r="A137" s="17">
        <v>136</v>
      </c>
      <c r="B137" s="6" t="s">
        <v>400</v>
      </c>
      <c r="C137" s="6" t="s">
        <v>258</v>
      </c>
      <c r="D137" s="7">
        <v>5283.45</v>
      </c>
      <c r="E137" s="23" t="s">
        <v>11</v>
      </c>
      <c r="F137" s="23">
        <v>2641.73</v>
      </c>
      <c r="G137" s="23" t="s">
        <v>11</v>
      </c>
      <c r="H137" s="7">
        <v>100.58</v>
      </c>
      <c r="I137" s="23" t="s">
        <v>12</v>
      </c>
      <c r="J137" s="7" t="s">
        <v>20</v>
      </c>
      <c r="K137" s="23" t="s">
        <v>20</v>
      </c>
      <c r="L137" s="23">
        <v>100.58</v>
      </c>
      <c r="M137" s="23" t="s">
        <v>12</v>
      </c>
      <c r="N137" s="8" t="s">
        <v>13</v>
      </c>
      <c r="O137" s="7">
        <v>17</v>
      </c>
      <c r="P137" s="6" t="s">
        <v>23</v>
      </c>
      <c r="Q137" s="7" t="s">
        <v>20</v>
      </c>
      <c r="R137" s="6" t="s">
        <v>20</v>
      </c>
      <c r="S137" s="23" t="s">
        <v>13</v>
      </c>
      <c r="T137" s="24" t="s">
        <v>288</v>
      </c>
    </row>
    <row r="138" spans="1:20" x14ac:dyDescent="0.3">
      <c r="A138" s="17">
        <v>137</v>
      </c>
      <c r="B138" s="6" t="s">
        <v>401</v>
      </c>
      <c r="C138" s="6" t="s">
        <v>243</v>
      </c>
      <c r="D138" s="7">
        <v>26.42</v>
      </c>
      <c r="E138" s="23" t="s">
        <v>11</v>
      </c>
      <c r="F138" s="23">
        <v>13.209999999999999</v>
      </c>
      <c r="G138" s="23" t="s">
        <v>11</v>
      </c>
      <c r="H138" s="7" t="s">
        <v>13</v>
      </c>
      <c r="I138" s="23" t="s">
        <v>12</v>
      </c>
      <c r="J138" s="7" t="s">
        <v>13</v>
      </c>
      <c r="K138" s="23" t="s">
        <v>12</v>
      </c>
      <c r="L138" s="23">
        <v>2.0199999999999996</v>
      </c>
      <c r="M138" s="23" t="s">
        <v>12</v>
      </c>
      <c r="N138" s="8" t="s">
        <v>13</v>
      </c>
      <c r="O138" s="7" t="s">
        <v>20</v>
      </c>
      <c r="P138" s="6" t="s">
        <v>20</v>
      </c>
      <c r="Q138" s="7">
        <v>15</v>
      </c>
      <c r="R138" s="6" t="s">
        <v>23</v>
      </c>
      <c r="S138" s="23" t="s">
        <v>13</v>
      </c>
      <c r="T138" s="24" t="s">
        <v>20</v>
      </c>
    </row>
    <row r="139" spans="1:20" x14ac:dyDescent="0.3">
      <c r="A139" s="17">
        <v>138</v>
      </c>
      <c r="B139" s="6" t="s">
        <v>402</v>
      </c>
      <c r="C139" s="6" t="s">
        <v>243</v>
      </c>
      <c r="D139" s="7">
        <v>79.260000000000005</v>
      </c>
      <c r="E139" s="23" t="s">
        <v>11</v>
      </c>
      <c r="F139" s="23">
        <v>39.629999999999995</v>
      </c>
      <c r="G139" s="23" t="s">
        <v>11</v>
      </c>
      <c r="H139" s="7" t="s">
        <v>13</v>
      </c>
      <c r="I139" s="23" t="s">
        <v>12</v>
      </c>
      <c r="J139" s="7" t="s">
        <v>13</v>
      </c>
      <c r="K139" s="23" t="s">
        <v>12</v>
      </c>
      <c r="L139" s="23">
        <v>2.0199999999999996</v>
      </c>
      <c r="M139" s="23" t="s">
        <v>12</v>
      </c>
      <c r="N139" s="8" t="s">
        <v>13</v>
      </c>
      <c r="O139" s="7">
        <v>24</v>
      </c>
      <c r="P139" s="6" t="s">
        <v>23</v>
      </c>
      <c r="Q139" s="7">
        <v>24</v>
      </c>
      <c r="R139" s="6" t="s">
        <v>23</v>
      </c>
      <c r="S139" s="23" t="s">
        <v>13</v>
      </c>
      <c r="T139" s="24" t="s">
        <v>403</v>
      </c>
    </row>
    <row r="140" spans="1:20" x14ac:dyDescent="0.3">
      <c r="A140" s="17">
        <v>139</v>
      </c>
      <c r="B140" s="6" t="s">
        <v>404</v>
      </c>
      <c r="C140" s="6" t="s">
        <v>243</v>
      </c>
      <c r="D140" s="7">
        <v>132.09</v>
      </c>
      <c r="E140" s="23" t="s">
        <v>11</v>
      </c>
      <c r="F140" s="23">
        <v>66.050000000000011</v>
      </c>
      <c r="G140" s="23" t="s">
        <v>11</v>
      </c>
      <c r="H140" s="7" t="s">
        <v>13</v>
      </c>
      <c r="I140" s="23" t="s">
        <v>12</v>
      </c>
      <c r="J140" s="7" t="s">
        <v>13</v>
      </c>
      <c r="K140" s="23" t="s">
        <v>12</v>
      </c>
      <c r="L140" s="23">
        <v>2.96</v>
      </c>
      <c r="M140" s="23" t="s">
        <v>12</v>
      </c>
      <c r="N140" s="8" t="s">
        <v>13</v>
      </c>
      <c r="O140" s="7">
        <v>24</v>
      </c>
      <c r="P140" s="6" t="s">
        <v>23</v>
      </c>
      <c r="Q140" s="7">
        <v>24</v>
      </c>
      <c r="R140" s="6" t="s">
        <v>23</v>
      </c>
      <c r="S140" s="23" t="s">
        <v>13</v>
      </c>
      <c r="T140" s="24" t="s">
        <v>403</v>
      </c>
    </row>
    <row r="141" spans="1:20" x14ac:dyDescent="0.3">
      <c r="A141" s="17">
        <v>140</v>
      </c>
      <c r="B141" s="6" t="s">
        <v>405</v>
      </c>
      <c r="C141" s="6" t="s">
        <v>243</v>
      </c>
      <c r="D141" s="7">
        <v>264.18</v>
      </c>
      <c r="E141" s="23" t="s">
        <v>11</v>
      </c>
      <c r="F141" s="23">
        <v>132.09</v>
      </c>
      <c r="G141" s="23" t="s">
        <v>11</v>
      </c>
      <c r="H141" s="7" t="s">
        <v>13</v>
      </c>
      <c r="I141" s="23" t="s">
        <v>12</v>
      </c>
      <c r="J141" s="7" t="s">
        <v>13</v>
      </c>
      <c r="K141" s="23" t="s">
        <v>12</v>
      </c>
      <c r="L141" s="23">
        <v>10.06</v>
      </c>
      <c r="M141" s="23" t="s">
        <v>12</v>
      </c>
      <c r="N141" s="8" t="s">
        <v>13</v>
      </c>
      <c r="O141" s="7">
        <v>10</v>
      </c>
      <c r="P141" s="6" t="s">
        <v>23</v>
      </c>
      <c r="Q141" s="7">
        <v>10</v>
      </c>
      <c r="R141" s="6" t="s">
        <v>23</v>
      </c>
      <c r="S141" s="23" t="s">
        <v>13</v>
      </c>
      <c r="T141" s="24" t="s">
        <v>403</v>
      </c>
    </row>
    <row r="142" spans="1:20" x14ac:dyDescent="0.3">
      <c r="A142" s="17">
        <v>141</v>
      </c>
      <c r="B142" s="6" t="s">
        <v>406</v>
      </c>
      <c r="C142" s="6" t="s">
        <v>243</v>
      </c>
      <c r="D142" s="7">
        <v>528.35</v>
      </c>
      <c r="E142" s="23" t="s">
        <v>11</v>
      </c>
      <c r="F142" s="23">
        <v>277.39</v>
      </c>
      <c r="G142" s="23" t="s">
        <v>11</v>
      </c>
      <c r="H142" s="7" t="s">
        <v>13</v>
      </c>
      <c r="I142" s="23" t="s">
        <v>12</v>
      </c>
      <c r="J142" s="7" t="s">
        <v>13</v>
      </c>
      <c r="K142" s="23" t="s">
        <v>12</v>
      </c>
      <c r="L142" s="23">
        <v>16.100000000000001</v>
      </c>
      <c r="M142" s="23" t="s">
        <v>12</v>
      </c>
      <c r="N142" s="8" t="s">
        <v>13</v>
      </c>
      <c r="O142" s="7">
        <v>10</v>
      </c>
      <c r="P142" s="6" t="s">
        <v>23</v>
      </c>
      <c r="Q142" s="7">
        <v>10</v>
      </c>
      <c r="R142" s="6" t="s">
        <v>23</v>
      </c>
      <c r="S142" s="23" t="s">
        <v>13</v>
      </c>
      <c r="T142" s="24" t="s">
        <v>403</v>
      </c>
    </row>
    <row r="143" spans="1:20" x14ac:dyDescent="0.3">
      <c r="A143" s="17">
        <v>142</v>
      </c>
      <c r="B143" s="6" t="s">
        <v>407</v>
      </c>
      <c r="C143" s="6" t="s">
        <v>243</v>
      </c>
      <c r="D143" s="7">
        <v>792.52</v>
      </c>
      <c r="E143" s="23" t="s">
        <v>11</v>
      </c>
      <c r="F143" s="23">
        <v>396.26</v>
      </c>
      <c r="G143" s="23" t="s">
        <v>11</v>
      </c>
      <c r="H143" s="7" t="s">
        <v>13</v>
      </c>
      <c r="I143" s="23" t="s">
        <v>12</v>
      </c>
      <c r="J143" s="7" t="s">
        <v>13</v>
      </c>
      <c r="K143" s="23" t="s">
        <v>12</v>
      </c>
      <c r="L143" s="23">
        <v>24.14</v>
      </c>
      <c r="M143" s="23" t="s">
        <v>12</v>
      </c>
      <c r="N143" s="8" t="s">
        <v>13</v>
      </c>
      <c r="O143" s="7">
        <v>8</v>
      </c>
      <c r="P143" s="6" t="s">
        <v>23</v>
      </c>
      <c r="Q143" s="7">
        <v>8</v>
      </c>
      <c r="R143" s="6" t="s">
        <v>23</v>
      </c>
      <c r="S143" s="23" t="s">
        <v>13</v>
      </c>
      <c r="T143" s="24" t="s">
        <v>403</v>
      </c>
    </row>
    <row r="144" spans="1:20" x14ac:dyDescent="0.3">
      <c r="A144" s="17">
        <v>143</v>
      </c>
      <c r="B144" s="6" t="s">
        <v>408</v>
      </c>
      <c r="C144" s="6" t="s">
        <v>243</v>
      </c>
      <c r="D144" s="7">
        <v>1320.87</v>
      </c>
      <c r="E144" s="23" t="s">
        <v>11</v>
      </c>
      <c r="F144" s="23">
        <v>660.43999999999994</v>
      </c>
      <c r="G144" s="23" t="s">
        <v>11</v>
      </c>
      <c r="H144" s="7" t="s">
        <v>13</v>
      </c>
      <c r="I144" s="23" t="s">
        <v>12</v>
      </c>
      <c r="J144" s="7" t="s">
        <v>13</v>
      </c>
      <c r="K144" s="23" t="s">
        <v>12</v>
      </c>
      <c r="L144" s="23">
        <v>33.53</v>
      </c>
      <c r="M144" s="23" t="s">
        <v>12</v>
      </c>
      <c r="N144" s="8" t="s">
        <v>13</v>
      </c>
      <c r="O144" s="7">
        <v>6</v>
      </c>
      <c r="P144" s="6" t="s">
        <v>23</v>
      </c>
      <c r="Q144" s="7">
        <v>6</v>
      </c>
      <c r="R144" s="6" t="s">
        <v>23</v>
      </c>
      <c r="S144" s="23" t="s">
        <v>13</v>
      </c>
      <c r="T144" s="24" t="s">
        <v>403</v>
      </c>
    </row>
    <row r="145" spans="1:20" x14ac:dyDescent="0.3">
      <c r="A145" s="17">
        <v>144</v>
      </c>
      <c r="B145" s="6" t="s">
        <v>409</v>
      </c>
      <c r="C145" s="6" t="s">
        <v>243</v>
      </c>
      <c r="D145" s="7">
        <v>2641.73</v>
      </c>
      <c r="E145" s="23" t="s">
        <v>11</v>
      </c>
      <c r="F145" s="23">
        <v>1320.87</v>
      </c>
      <c r="G145" s="23" t="s">
        <v>11</v>
      </c>
      <c r="H145" s="7" t="s">
        <v>13</v>
      </c>
      <c r="I145" s="23" t="s">
        <v>12</v>
      </c>
      <c r="J145" s="7" t="s">
        <v>13</v>
      </c>
      <c r="K145" s="23" t="s">
        <v>12</v>
      </c>
      <c r="L145" s="23">
        <v>40.239999999999995</v>
      </c>
      <c r="M145" s="23" t="s">
        <v>12</v>
      </c>
      <c r="N145" s="8" t="s">
        <v>13</v>
      </c>
      <c r="O145" s="7">
        <v>6</v>
      </c>
      <c r="P145" s="6" t="s">
        <v>23</v>
      </c>
      <c r="Q145" s="7">
        <v>6</v>
      </c>
      <c r="R145" s="6" t="s">
        <v>23</v>
      </c>
      <c r="S145" s="23" t="s">
        <v>13</v>
      </c>
      <c r="T145" s="24" t="s">
        <v>403</v>
      </c>
    </row>
    <row r="146" spans="1:20" x14ac:dyDescent="0.3">
      <c r="A146" s="17">
        <v>145</v>
      </c>
      <c r="B146" s="6" t="s">
        <v>410</v>
      </c>
      <c r="C146" s="6" t="s">
        <v>243</v>
      </c>
      <c r="D146" s="7">
        <v>5283.45</v>
      </c>
      <c r="E146" s="23" t="s">
        <v>11</v>
      </c>
      <c r="F146" s="23">
        <v>2641.73</v>
      </c>
      <c r="G146" s="23" t="s">
        <v>11</v>
      </c>
      <c r="H146" s="7" t="s">
        <v>13</v>
      </c>
      <c r="I146" s="23" t="s">
        <v>12</v>
      </c>
      <c r="J146" s="7" t="s">
        <v>13</v>
      </c>
      <c r="K146" s="23" t="s">
        <v>12</v>
      </c>
      <c r="L146" s="23">
        <v>49.62</v>
      </c>
      <c r="M146" s="23" t="s">
        <v>12</v>
      </c>
      <c r="N146" s="8" t="s">
        <v>13</v>
      </c>
      <c r="O146" s="7">
        <v>4</v>
      </c>
      <c r="P146" s="6" t="s">
        <v>23</v>
      </c>
      <c r="Q146" s="7">
        <v>4</v>
      </c>
      <c r="R146" s="6" t="s">
        <v>23</v>
      </c>
      <c r="S146" s="23" t="s">
        <v>13</v>
      </c>
      <c r="T146" s="24" t="s">
        <v>403</v>
      </c>
    </row>
    <row r="147" spans="1:20" x14ac:dyDescent="0.3">
      <c r="A147" s="17">
        <v>146</v>
      </c>
      <c r="B147" s="6" t="s">
        <v>411</v>
      </c>
      <c r="C147" s="6" t="s">
        <v>243</v>
      </c>
      <c r="D147" s="7">
        <v>7396.83</v>
      </c>
      <c r="E147" s="23" t="s">
        <v>11</v>
      </c>
      <c r="F147" s="23">
        <v>3698.42</v>
      </c>
      <c r="G147" s="23" t="s">
        <v>11</v>
      </c>
      <c r="H147" s="7" t="s">
        <v>13</v>
      </c>
      <c r="I147" s="23" t="s">
        <v>12</v>
      </c>
      <c r="J147" s="7" t="s">
        <v>13</v>
      </c>
      <c r="K147" s="23" t="s">
        <v>12</v>
      </c>
      <c r="L147" s="23">
        <v>60.35</v>
      </c>
      <c r="M147" s="23" t="s">
        <v>12</v>
      </c>
      <c r="N147" s="8" t="s">
        <v>13</v>
      </c>
      <c r="O147" s="7">
        <v>4</v>
      </c>
      <c r="P147" s="6" t="s">
        <v>23</v>
      </c>
      <c r="Q147" s="7">
        <v>4</v>
      </c>
      <c r="R147" s="6" t="s">
        <v>23</v>
      </c>
      <c r="S147" s="23" t="s">
        <v>13</v>
      </c>
      <c r="T147" s="24" t="s">
        <v>403</v>
      </c>
    </row>
    <row r="148" spans="1:20" x14ac:dyDescent="0.3">
      <c r="A148" s="17">
        <v>147</v>
      </c>
      <c r="B148" s="6" t="s">
        <v>412</v>
      </c>
      <c r="C148" s="6" t="s">
        <v>249</v>
      </c>
      <c r="D148" s="7">
        <v>13.209999999999999</v>
      </c>
      <c r="E148" s="23" t="s">
        <v>11</v>
      </c>
      <c r="F148" s="23">
        <v>9.91</v>
      </c>
      <c r="G148" s="23" t="s">
        <v>11</v>
      </c>
      <c r="H148" s="7" t="s">
        <v>13</v>
      </c>
      <c r="I148" s="23" t="s">
        <v>12</v>
      </c>
      <c r="J148" s="7" t="s">
        <v>13</v>
      </c>
      <c r="K148" s="23" t="s">
        <v>12</v>
      </c>
      <c r="L148" s="23">
        <v>1.48</v>
      </c>
      <c r="M148" s="23" t="s">
        <v>12</v>
      </c>
      <c r="N148" s="8" t="s">
        <v>13</v>
      </c>
      <c r="O148" s="7">
        <v>25</v>
      </c>
      <c r="P148" s="6" t="s">
        <v>23</v>
      </c>
      <c r="Q148" s="7">
        <v>12.5</v>
      </c>
      <c r="R148" s="6" t="s">
        <v>23</v>
      </c>
      <c r="S148" s="23" t="s">
        <v>13</v>
      </c>
      <c r="T148" s="24" t="s">
        <v>403</v>
      </c>
    </row>
    <row r="149" spans="1:20" x14ac:dyDescent="0.3">
      <c r="A149" s="17">
        <v>148</v>
      </c>
      <c r="B149" s="6" t="s">
        <v>413</v>
      </c>
      <c r="C149" s="6" t="s">
        <v>249</v>
      </c>
      <c r="D149" s="7">
        <v>26.42</v>
      </c>
      <c r="E149" s="23" t="s">
        <v>11</v>
      </c>
      <c r="F149" s="23">
        <v>19.82</v>
      </c>
      <c r="G149" s="23" t="s">
        <v>11</v>
      </c>
      <c r="H149" s="7" t="s">
        <v>13</v>
      </c>
      <c r="I149" s="23" t="s">
        <v>12</v>
      </c>
      <c r="J149" s="7" t="s">
        <v>13</v>
      </c>
      <c r="K149" s="23" t="s">
        <v>12</v>
      </c>
      <c r="L149" s="23">
        <v>1.48</v>
      </c>
      <c r="M149" s="23" t="s">
        <v>12</v>
      </c>
      <c r="N149" s="8" t="s">
        <v>13</v>
      </c>
      <c r="O149" s="7">
        <v>23</v>
      </c>
      <c r="P149" s="6" t="s">
        <v>23</v>
      </c>
      <c r="Q149" s="7">
        <v>11.5</v>
      </c>
      <c r="R149" s="6" t="s">
        <v>23</v>
      </c>
      <c r="S149" s="23" t="s">
        <v>13</v>
      </c>
      <c r="T149" s="24" t="s">
        <v>403</v>
      </c>
    </row>
    <row r="150" spans="1:20" x14ac:dyDescent="0.3">
      <c r="A150" s="17">
        <v>149</v>
      </c>
      <c r="B150" s="6" t="s">
        <v>414</v>
      </c>
      <c r="C150" s="6" t="s">
        <v>249</v>
      </c>
      <c r="D150" s="7">
        <v>52.839999999999996</v>
      </c>
      <c r="E150" s="23" t="s">
        <v>11</v>
      </c>
      <c r="F150" s="23">
        <v>39.629999999999995</v>
      </c>
      <c r="G150" s="23" t="s">
        <v>11</v>
      </c>
      <c r="H150" s="7" t="s">
        <v>13</v>
      </c>
      <c r="I150" s="23" t="s">
        <v>12</v>
      </c>
      <c r="J150" s="7" t="s">
        <v>13</v>
      </c>
      <c r="K150" s="23" t="s">
        <v>12</v>
      </c>
      <c r="L150" s="23">
        <v>2.96</v>
      </c>
      <c r="M150" s="23" t="s">
        <v>12</v>
      </c>
      <c r="N150" s="8" t="s">
        <v>13</v>
      </c>
      <c r="O150" s="7">
        <v>21</v>
      </c>
      <c r="P150" s="6" t="s">
        <v>23</v>
      </c>
      <c r="Q150" s="7">
        <v>10.5</v>
      </c>
      <c r="R150" s="6" t="s">
        <v>23</v>
      </c>
      <c r="S150" s="23" t="s">
        <v>13</v>
      </c>
      <c r="T150" s="24" t="s">
        <v>403</v>
      </c>
    </row>
    <row r="151" spans="1:20" x14ac:dyDescent="0.3">
      <c r="A151" s="17">
        <v>150</v>
      </c>
      <c r="B151" s="6" t="s">
        <v>415</v>
      </c>
      <c r="C151" s="6" t="s">
        <v>249</v>
      </c>
      <c r="D151" s="7">
        <v>105.67</v>
      </c>
      <c r="E151" s="23" t="s">
        <v>11</v>
      </c>
      <c r="F151" s="23">
        <v>79.260000000000005</v>
      </c>
      <c r="G151" s="23" t="s">
        <v>11</v>
      </c>
      <c r="H151" s="7" t="s">
        <v>13</v>
      </c>
      <c r="I151" s="23" t="s">
        <v>12</v>
      </c>
      <c r="J151" s="7" t="s">
        <v>13</v>
      </c>
      <c r="K151" s="23" t="s">
        <v>12</v>
      </c>
      <c r="L151" s="23">
        <v>4.0299999999999994</v>
      </c>
      <c r="M151" s="23" t="s">
        <v>12</v>
      </c>
      <c r="N151" s="8" t="s">
        <v>13</v>
      </c>
      <c r="O151" s="7">
        <v>19</v>
      </c>
      <c r="P151" s="6" t="s">
        <v>23</v>
      </c>
      <c r="Q151" s="7">
        <v>9.5</v>
      </c>
      <c r="R151" s="6" t="s">
        <v>23</v>
      </c>
      <c r="S151" s="23" t="s">
        <v>13</v>
      </c>
      <c r="T151" s="24" t="s">
        <v>403</v>
      </c>
    </row>
    <row r="152" spans="1:20" x14ac:dyDescent="0.3">
      <c r="A152" s="17">
        <v>151</v>
      </c>
      <c r="B152" s="6" t="s">
        <v>416</v>
      </c>
      <c r="C152" s="6" t="s">
        <v>249</v>
      </c>
      <c r="D152" s="7">
        <v>158.51</v>
      </c>
      <c r="E152" s="23" t="s">
        <v>11</v>
      </c>
      <c r="F152" s="23">
        <v>118.88000000000001</v>
      </c>
      <c r="G152" s="23" t="s">
        <v>11</v>
      </c>
      <c r="H152" s="7" t="s">
        <v>13</v>
      </c>
      <c r="I152" s="23" t="s">
        <v>12</v>
      </c>
      <c r="J152" s="7" t="s">
        <v>13</v>
      </c>
      <c r="K152" s="23" t="s">
        <v>12</v>
      </c>
      <c r="L152" s="23">
        <v>5.37</v>
      </c>
      <c r="M152" s="23" t="s">
        <v>12</v>
      </c>
      <c r="N152" s="8" t="s">
        <v>13</v>
      </c>
      <c r="O152" s="7">
        <v>17</v>
      </c>
      <c r="P152" s="6" t="s">
        <v>23</v>
      </c>
      <c r="Q152" s="7">
        <v>8.5</v>
      </c>
      <c r="R152" s="6" t="s">
        <v>23</v>
      </c>
      <c r="S152" s="23" t="s">
        <v>13</v>
      </c>
      <c r="T152" s="24" t="s">
        <v>403</v>
      </c>
    </row>
    <row r="153" spans="1:20" x14ac:dyDescent="0.3">
      <c r="A153" s="17">
        <v>152</v>
      </c>
      <c r="B153" s="6" t="s">
        <v>417</v>
      </c>
      <c r="C153" s="6" t="s">
        <v>249</v>
      </c>
      <c r="D153" s="7">
        <v>211.34</v>
      </c>
      <c r="E153" s="23" t="s">
        <v>11</v>
      </c>
      <c r="F153" s="23">
        <v>158.51</v>
      </c>
      <c r="G153" s="23" t="s">
        <v>11</v>
      </c>
      <c r="H153" s="7" t="s">
        <v>13</v>
      </c>
      <c r="I153" s="23" t="s">
        <v>12</v>
      </c>
      <c r="J153" s="7" t="s">
        <v>13</v>
      </c>
      <c r="K153" s="23" t="s">
        <v>12</v>
      </c>
      <c r="L153" s="23">
        <v>10.06</v>
      </c>
      <c r="M153" s="23" t="s">
        <v>12</v>
      </c>
      <c r="N153" s="8" t="s">
        <v>13</v>
      </c>
      <c r="O153" s="7">
        <v>15</v>
      </c>
      <c r="P153" s="6" t="s">
        <v>23</v>
      </c>
      <c r="Q153" s="7">
        <v>7.5</v>
      </c>
      <c r="R153" s="6" t="s">
        <v>23</v>
      </c>
      <c r="S153" s="23" t="s">
        <v>13</v>
      </c>
      <c r="T153" s="24" t="s">
        <v>403</v>
      </c>
    </row>
    <row r="154" spans="1:20" x14ac:dyDescent="0.3">
      <c r="A154" s="17">
        <v>153</v>
      </c>
      <c r="B154" s="6" t="s">
        <v>418</v>
      </c>
      <c r="C154" s="6" t="s">
        <v>249</v>
      </c>
      <c r="D154" s="7">
        <v>264.18</v>
      </c>
      <c r="E154" s="23" t="s">
        <v>11</v>
      </c>
      <c r="F154" s="23">
        <v>211.34</v>
      </c>
      <c r="G154" s="23" t="s">
        <v>11</v>
      </c>
      <c r="H154" s="7" t="s">
        <v>13</v>
      </c>
      <c r="I154" s="23" t="s">
        <v>12</v>
      </c>
      <c r="J154" s="7" t="s">
        <v>13</v>
      </c>
      <c r="K154" s="23" t="s">
        <v>12</v>
      </c>
      <c r="L154" s="23">
        <v>10.06</v>
      </c>
      <c r="M154" s="23" t="s">
        <v>12</v>
      </c>
      <c r="N154" s="8" t="s">
        <v>13</v>
      </c>
      <c r="O154" s="7">
        <v>12</v>
      </c>
      <c r="P154" s="6" t="s">
        <v>23</v>
      </c>
      <c r="Q154" s="7">
        <v>6</v>
      </c>
      <c r="R154" s="6" t="s">
        <v>23</v>
      </c>
      <c r="S154" s="23" t="s">
        <v>13</v>
      </c>
      <c r="T154" s="24" t="s">
        <v>403</v>
      </c>
    </row>
    <row r="155" spans="1:20" x14ac:dyDescent="0.3">
      <c r="A155" s="17">
        <v>154</v>
      </c>
      <c r="B155" s="6" t="s">
        <v>419</v>
      </c>
      <c r="C155" s="6" t="s">
        <v>249</v>
      </c>
      <c r="D155" s="7">
        <v>528.35</v>
      </c>
      <c r="E155" s="23" t="s">
        <v>11</v>
      </c>
      <c r="F155" s="23">
        <v>422.68</v>
      </c>
      <c r="G155" s="23" t="s">
        <v>11</v>
      </c>
      <c r="H155" s="7" t="s">
        <v>13</v>
      </c>
      <c r="I155" s="23" t="s">
        <v>12</v>
      </c>
      <c r="J155" s="7" t="s">
        <v>13</v>
      </c>
      <c r="K155" s="23" t="s">
        <v>12</v>
      </c>
      <c r="L155" s="23">
        <v>24.810000000000002</v>
      </c>
      <c r="M155" s="23" t="s">
        <v>12</v>
      </c>
      <c r="N155" s="8" t="s">
        <v>13</v>
      </c>
      <c r="O155" s="7">
        <v>22</v>
      </c>
      <c r="P155" s="6" t="s">
        <v>23</v>
      </c>
      <c r="Q155" s="7">
        <v>11</v>
      </c>
      <c r="R155" s="6" t="s">
        <v>23</v>
      </c>
      <c r="S155" s="23" t="s">
        <v>13</v>
      </c>
      <c r="T155" s="24" t="s">
        <v>403</v>
      </c>
    </row>
    <row r="156" spans="1:20" x14ac:dyDescent="0.3">
      <c r="A156" s="17">
        <v>155</v>
      </c>
      <c r="B156" s="6" t="s">
        <v>420</v>
      </c>
      <c r="C156" s="6" t="s">
        <v>249</v>
      </c>
      <c r="D156" s="7">
        <v>792.52</v>
      </c>
      <c r="E156" s="23" t="s">
        <v>11</v>
      </c>
      <c r="F156" s="23">
        <v>634.02</v>
      </c>
      <c r="G156" s="23" t="s">
        <v>11</v>
      </c>
      <c r="H156" s="7" t="s">
        <v>13</v>
      </c>
      <c r="I156" s="23" t="s">
        <v>12</v>
      </c>
      <c r="J156" s="7" t="s">
        <v>13</v>
      </c>
      <c r="K156" s="23" t="s">
        <v>12</v>
      </c>
      <c r="L156" s="23">
        <v>30.180000000000003</v>
      </c>
      <c r="M156" s="23" t="s">
        <v>12</v>
      </c>
      <c r="N156" s="8" t="s">
        <v>13</v>
      </c>
      <c r="O156" s="7">
        <v>22</v>
      </c>
      <c r="P156" s="6" t="s">
        <v>23</v>
      </c>
      <c r="Q156" s="7">
        <v>11</v>
      </c>
      <c r="R156" s="6" t="s">
        <v>23</v>
      </c>
      <c r="S156" s="23" t="s">
        <v>13</v>
      </c>
      <c r="T156" s="24" t="s">
        <v>403</v>
      </c>
    </row>
    <row r="157" spans="1:20" x14ac:dyDescent="0.3">
      <c r="A157" s="17">
        <v>156</v>
      </c>
      <c r="B157" s="6" t="s">
        <v>421</v>
      </c>
      <c r="C157" s="6" t="s">
        <v>341</v>
      </c>
      <c r="D157" s="7">
        <v>13.209999999999999</v>
      </c>
      <c r="E157" s="23" t="s">
        <v>11</v>
      </c>
      <c r="F157" s="23">
        <v>5.29</v>
      </c>
      <c r="G157" s="23" t="s">
        <v>11</v>
      </c>
      <c r="H157" s="7" t="s">
        <v>20</v>
      </c>
      <c r="I157" s="23" t="s">
        <v>20</v>
      </c>
      <c r="J157" s="7">
        <v>1.01</v>
      </c>
      <c r="K157" s="23" t="s">
        <v>12</v>
      </c>
      <c r="L157" s="23">
        <v>1.01</v>
      </c>
      <c r="M157" s="23" t="s">
        <v>12</v>
      </c>
      <c r="N157" s="8" t="s">
        <v>13</v>
      </c>
      <c r="O157" s="7" t="s">
        <v>20</v>
      </c>
      <c r="P157" s="6" t="s">
        <v>20</v>
      </c>
      <c r="Q157" s="7">
        <v>20</v>
      </c>
      <c r="R157" s="6" t="s">
        <v>23</v>
      </c>
      <c r="S157" s="23" t="s">
        <v>13</v>
      </c>
      <c r="T157" s="24" t="s">
        <v>20</v>
      </c>
    </row>
    <row r="158" spans="1:20" x14ac:dyDescent="0.3">
      <c r="A158" s="17">
        <v>157</v>
      </c>
      <c r="B158" s="6" t="s">
        <v>422</v>
      </c>
      <c r="C158" s="6" t="s">
        <v>341</v>
      </c>
      <c r="D158" s="7">
        <v>26.42</v>
      </c>
      <c r="E158" s="23" t="s">
        <v>11</v>
      </c>
      <c r="F158" s="23">
        <v>10.57</v>
      </c>
      <c r="G158" s="23" t="s">
        <v>11</v>
      </c>
      <c r="H158" s="7" t="s">
        <v>20</v>
      </c>
      <c r="I158" s="23" t="s">
        <v>20</v>
      </c>
      <c r="J158" s="7">
        <v>1.48</v>
      </c>
      <c r="K158" s="23" t="s">
        <v>12</v>
      </c>
      <c r="L158" s="23">
        <v>1.48</v>
      </c>
      <c r="M158" s="23" t="s">
        <v>12</v>
      </c>
      <c r="N158" s="8" t="s">
        <v>13</v>
      </c>
      <c r="O158" s="7" t="s">
        <v>20</v>
      </c>
      <c r="P158" s="6" t="s">
        <v>20</v>
      </c>
      <c r="Q158" s="7">
        <v>15</v>
      </c>
      <c r="R158" s="6" t="s">
        <v>23</v>
      </c>
      <c r="S158" s="23" t="s">
        <v>13</v>
      </c>
      <c r="T158" s="24" t="s">
        <v>20</v>
      </c>
    </row>
    <row r="159" spans="1:20" x14ac:dyDescent="0.3">
      <c r="A159" s="17">
        <v>158</v>
      </c>
      <c r="B159" s="6" t="s">
        <v>423</v>
      </c>
      <c r="C159" s="6" t="s">
        <v>341</v>
      </c>
      <c r="D159" s="7">
        <v>52.839999999999996</v>
      </c>
      <c r="E159" s="23" t="s">
        <v>11</v>
      </c>
      <c r="F159" s="23">
        <v>21.14</v>
      </c>
      <c r="G159" s="23" t="s">
        <v>11</v>
      </c>
      <c r="H159" s="7" t="s">
        <v>20</v>
      </c>
      <c r="I159" s="23" t="s">
        <v>20</v>
      </c>
      <c r="J159" s="7">
        <v>1.48</v>
      </c>
      <c r="K159" s="23" t="s">
        <v>12</v>
      </c>
      <c r="L159" s="23">
        <v>1.48</v>
      </c>
      <c r="M159" s="23" t="s">
        <v>12</v>
      </c>
      <c r="N159" s="8" t="s">
        <v>13</v>
      </c>
      <c r="O159" s="7" t="s">
        <v>20</v>
      </c>
      <c r="P159" s="6" t="s">
        <v>20</v>
      </c>
      <c r="Q159" s="7">
        <v>15</v>
      </c>
      <c r="R159" s="6" t="s">
        <v>23</v>
      </c>
      <c r="S159" s="23" t="s">
        <v>13</v>
      </c>
      <c r="T159" s="24" t="s">
        <v>20</v>
      </c>
    </row>
    <row r="160" spans="1:20" x14ac:dyDescent="0.3">
      <c r="A160" s="17">
        <v>159</v>
      </c>
      <c r="B160" s="6" t="s">
        <v>424</v>
      </c>
      <c r="C160" s="6" t="s">
        <v>341</v>
      </c>
      <c r="D160" s="7">
        <v>79.260000000000005</v>
      </c>
      <c r="E160" s="23" t="s">
        <v>11</v>
      </c>
      <c r="F160" s="23">
        <v>31.71</v>
      </c>
      <c r="G160" s="23" t="s">
        <v>11</v>
      </c>
      <c r="H160" s="7" t="s">
        <v>20</v>
      </c>
      <c r="I160" s="23" t="s">
        <v>20</v>
      </c>
      <c r="J160" s="7">
        <v>1.48</v>
      </c>
      <c r="K160" s="23" t="s">
        <v>12</v>
      </c>
      <c r="L160" s="23">
        <v>1.48</v>
      </c>
      <c r="M160" s="23" t="s">
        <v>12</v>
      </c>
      <c r="N160" s="8" t="s">
        <v>13</v>
      </c>
      <c r="O160" s="7" t="s">
        <v>20</v>
      </c>
      <c r="P160" s="6" t="s">
        <v>20</v>
      </c>
      <c r="Q160" s="7">
        <v>12</v>
      </c>
      <c r="R160" s="6" t="s">
        <v>23</v>
      </c>
      <c r="S160" s="23" t="s">
        <v>13</v>
      </c>
      <c r="T160" s="24" t="s">
        <v>20</v>
      </c>
    </row>
    <row r="161" spans="1:20" x14ac:dyDescent="0.3">
      <c r="A161" s="17">
        <v>160</v>
      </c>
      <c r="B161" s="6" t="s">
        <v>425</v>
      </c>
      <c r="C161" s="6" t="s">
        <v>341</v>
      </c>
      <c r="D161" s="7">
        <v>132.09</v>
      </c>
      <c r="E161" s="23" t="s">
        <v>11</v>
      </c>
      <c r="F161" s="23">
        <v>52.839999999999996</v>
      </c>
      <c r="G161" s="23" t="s">
        <v>11</v>
      </c>
      <c r="H161" s="7" t="s">
        <v>20</v>
      </c>
      <c r="I161" s="23" t="s">
        <v>20</v>
      </c>
      <c r="J161" s="7">
        <v>2.96</v>
      </c>
      <c r="K161" s="23" t="s">
        <v>12</v>
      </c>
      <c r="L161" s="23">
        <v>2.96</v>
      </c>
      <c r="M161" s="23" t="s">
        <v>12</v>
      </c>
      <c r="N161" s="8" t="s">
        <v>13</v>
      </c>
      <c r="O161" s="7" t="s">
        <v>20</v>
      </c>
      <c r="P161" s="6" t="s">
        <v>20</v>
      </c>
      <c r="Q161" s="7">
        <v>12</v>
      </c>
      <c r="R161" s="6" t="s">
        <v>23</v>
      </c>
      <c r="S161" s="23" t="s">
        <v>13</v>
      </c>
      <c r="T161" s="24" t="s">
        <v>20</v>
      </c>
    </row>
    <row r="162" spans="1:20" x14ac:dyDescent="0.3">
      <c r="A162" s="17">
        <v>161</v>
      </c>
      <c r="B162" s="6" t="s">
        <v>426</v>
      </c>
      <c r="C162" s="6" t="s">
        <v>341</v>
      </c>
      <c r="D162" s="7">
        <v>264.18</v>
      </c>
      <c r="E162" s="23" t="s">
        <v>11</v>
      </c>
      <c r="F162" s="23">
        <v>105.67</v>
      </c>
      <c r="G162" s="23" t="s">
        <v>11</v>
      </c>
      <c r="H162" s="7" t="s">
        <v>20</v>
      </c>
      <c r="I162" s="23" t="s">
        <v>20</v>
      </c>
      <c r="J162" s="7">
        <v>5.37</v>
      </c>
      <c r="K162" s="23" t="s">
        <v>12</v>
      </c>
      <c r="L162" s="23">
        <v>5.37</v>
      </c>
      <c r="M162" s="23" t="s">
        <v>12</v>
      </c>
      <c r="N162" s="8" t="s">
        <v>13</v>
      </c>
      <c r="O162" s="7" t="s">
        <v>20</v>
      </c>
      <c r="P162" s="6" t="s">
        <v>20</v>
      </c>
      <c r="Q162" s="7">
        <v>10</v>
      </c>
      <c r="R162" s="6" t="s">
        <v>23</v>
      </c>
      <c r="S162" s="23" t="s">
        <v>13</v>
      </c>
      <c r="T162" s="24" t="s">
        <v>20</v>
      </c>
    </row>
    <row r="163" spans="1:20" x14ac:dyDescent="0.3">
      <c r="A163" s="17">
        <v>162</v>
      </c>
      <c r="B163" s="6" t="s">
        <v>427</v>
      </c>
      <c r="C163" s="6" t="s">
        <v>341</v>
      </c>
      <c r="D163" s="7">
        <v>396.26</v>
      </c>
      <c r="E163" s="23" t="s">
        <v>11</v>
      </c>
      <c r="F163" s="23">
        <v>179.64</v>
      </c>
      <c r="G163" s="23" t="s">
        <v>11</v>
      </c>
      <c r="H163" s="7" t="s">
        <v>20</v>
      </c>
      <c r="I163" s="23" t="s">
        <v>20</v>
      </c>
      <c r="J163" s="7">
        <v>7.38</v>
      </c>
      <c r="K163" s="23" t="s">
        <v>12</v>
      </c>
      <c r="L163" s="23">
        <v>7.38</v>
      </c>
      <c r="M163" s="23" t="s">
        <v>12</v>
      </c>
      <c r="N163" s="8" t="s">
        <v>13</v>
      </c>
      <c r="O163" s="7" t="s">
        <v>20</v>
      </c>
      <c r="P163" s="6" t="s">
        <v>20</v>
      </c>
      <c r="Q163" s="7">
        <v>10</v>
      </c>
      <c r="R163" s="6" t="s">
        <v>23</v>
      </c>
      <c r="S163" s="23" t="s">
        <v>13</v>
      </c>
      <c r="T163" s="24" t="s">
        <v>20</v>
      </c>
    </row>
    <row r="164" spans="1:20" x14ac:dyDescent="0.3">
      <c r="A164" s="17">
        <v>163</v>
      </c>
      <c r="B164" s="6" t="s">
        <v>428</v>
      </c>
      <c r="C164" s="6" t="s">
        <v>341</v>
      </c>
      <c r="D164" s="7">
        <v>660.43999999999994</v>
      </c>
      <c r="E164" s="23" t="s">
        <v>11</v>
      </c>
      <c r="F164" s="23">
        <v>317.01</v>
      </c>
      <c r="G164" s="23" t="s">
        <v>11</v>
      </c>
      <c r="H164" s="7" t="s">
        <v>20</v>
      </c>
      <c r="I164" s="23" t="s">
        <v>20</v>
      </c>
      <c r="J164" s="7">
        <v>14.76</v>
      </c>
      <c r="K164" s="23" t="s">
        <v>12</v>
      </c>
      <c r="L164" s="23">
        <v>14.76</v>
      </c>
      <c r="M164" s="23" t="s">
        <v>12</v>
      </c>
      <c r="N164" s="8" t="s">
        <v>13</v>
      </c>
      <c r="O164" s="7" t="s">
        <v>20</v>
      </c>
      <c r="P164" s="6" t="s">
        <v>20</v>
      </c>
      <c r="Q164" s="7">
        <v>8</v>
      </c>
      <c r="R164" s="6" t="s">
        <v>23</v>
      </c>
      <c r="S164" s="23" t="s">
        <v>13</v>
      </c>
      <c r="T164" s="24" t="s">
        <v>20</v>
      </c>
    </row>
    <row r="165" spans="1:20" x14ac:dyDescent="0.3">
      <c r="A165" s="17">
        <v>164</v>
      </c>
      <c r="B165" s="6" t="s">
        <v>429</v>
      </c>
      <c r="C165" s="6" t="s">
        <v>341</v>
      </c>
      <c r="D165" s="7">
        <v>1056.69</v>
      </c>
      <c r="E165" s="23" t="s">
        <v>11</v>
      </c>
      <c r="F165" s="23">
        <v>475.51</v>
      </c>
      <c r="G165" s="23" t="s">
        <v>11</v>
      </c>
      <c r="H165" s="7" t="s">
        <v>20</v>
      </c>
      <c r="I165" s="23" t="s">
        <v>20</v>
      </c>
      <c r="J165" s="7">
        <v>20.12</v>
      </c>
      <c r="K165" s="23" t="s">
        <v>12</v>
      </c>
      <c r="L165" s="23">
        <v>20.12</v>
      </c>
      <c r="M165" s="23" t="s">
        <v>12</v>
      </c>
      <c r="N165" s="8" t="s">
        <v>13</v>
      </c>
      <c r="O165" s="7" t="s">
        <v>20</v>
      </c>
      <c r="P165" s="6" t="s">
        <v>20</v>
      </c>
      <c r="Q165" s="7">
        <v>6</v>
      </c>
      <c r="R165" s="6" t="s">
        <v>23</v>
      </c>
      <c r="S165" s="23" t="s">
        <v>13</v>
      </c>
      <c r="T165" s="24" t="s">
        <v>20</v>
      </c>
    </row>
    <row r="166" spans="1:20" x14ac:dyDescent="0.3">
      <c r="A166" s="17">
        <v>165</v>
      </c>
      <c r="B166" s="6" t="s">
        <v>430</v>
      </c>
      <c r="C166" s="6" t="s">
        <v>341</v>
      </c>
      <c r="D166" s="7">
        <v>1585.04</v>
      </c>
      <c r="E166" s="23" t="s">
        <v>11</v>
      </c>
      <c r="F166" s="23">
        <v>660.43999999999994</v>
      </c>
      <c r="G166" s="23" t="s">
        <v>11</v>
      </c>
      <c r="H166" s="7" t="s">
        <v>20</v>
      </c>
      <c r="I166" s="23" t="s">
        <v>20</v>
      </c>
      <c r="J166" s="7">
        <v>24.810000000000002</v>
      </c>
      <c r="K166" s="23" t="s">
        <v>12</v>
      </c>
      <c r="L166" s="23">
        <v>24.810000000000002</v>
      </c>
      <c r="M166" s="23" t="s">
        <v>12</v>
      </c>
      <c r="N166" s="8" t="s">
        <v>13</v>
      </c>
      <c r="O166" s="7" t="s">
        <v>20</v>
      </c>
      <c r="P166" s="6" t="s">
        <v>20</v>
      </c>
      <c r="Q166" s="7">
        <v>5</v>
      </c>
      <c r="R166" s="6" t="s">
        <v>23</v>
      </c>
      <c r="S166" s="23" t="s">
        <v>13</v>
      </c>
      <c r="T166" s="24" t="s">
        <v>20</v>
      </c>
    </row>
    <row r="167" spans="1:20" x14ac:dyDescent="0.3">
      <c r="A167" s="17">
        <v>166</v>
      </c>
      <c r="B167" s="6" t="s">
        <v>431</v>
      </c>
      <c r="C167" s="6" t="s">
        <v>263</v>
      </c>
      <c r="D167" s="7">
        <v>1.33</v>
      </c>
      <c r="E167" s="23" t="s">
        <v>11</v>
      </c>
      <c r="F167" s="23">
        <v>1.1100000000000001</v>
      </c>
      <c r="G167" s="23" t="s">
        <v>11</v>
      </c>
      <c r="H167" s="7">
        <v>0.25</v>
      </c>
      <c r="I167" s="23" t="s">
        <v>12</v>
      </c>
      <c r="J167" s="7" t="s">
        <v>20</v>
      </c>
      <c r="K167" s="23" t="s">
        <v>20</v>
      </c>
      <c r="L167" s="23">
        <v>0.25</v>
      </c>
      <c r="M167" s="23" t="s">
        <v>12</v>
      </c>
      <c r="N167" s="8" t="s">
        <v>13</v>
      </c>
      <c r="O167" s="7" t="s">
        <v>13</v>
      </c>
      <c r="P167" s="6" t="s">
        <v>23</v>
      </c>
      <c r="Q167" s="7" t="s">
        <v>20</v>
      </c>
      <c r="R167" s="6" t="s">
        <v>20</v>
      </c>
      <c r="S167" s="23" t="s">
        <v>13</v>
      </c>
      <c r="T167" s="24" t="s">
        <v>13</v>
      </c>
    </row>
    <row r="168" spans="1:20" x14ac:dyDescent="0.3">
      <c r="A168" s="17">
        <v>167</v>
      </c>
      <c r="B168" s="6" t="s">
        <v>432</v>
      </c>
      <c r="C168" s="6" t="s">
        <v>263</v>
      </c>
      <c r="D168" s="7">
        <v>2.65</v>
      </c>
      <c r="E168" s="23" t="s">
        <v>11</v>
      </c>
      <c r="F168" s="23">
        <v>2.2199999999999998</v>
      </c>
      <c r="G168" s="23" t="s">
        <v>11</v>
      </c>
      <c r="H168" s="7">
        <v>0.25</v>
      </c>
      <c r="I168" s="23" t="s">
        <v>12</v>
      </c>
      <c r="J168" s="7" t="s">
        <v>20</v>
      </c>
      <c r="K168" s="23" t="s">
        <v>20</v>
      </c>
      <c r="L168" s="23">
        <v>0.25</v>
      </c>
      <c r="M168" s="23" t="s">
        <v>12</v>
      </c>
      <c r="N168" s="8" t="s">
        <v>13</v>
      </c>
      <c r="O168" s="7" t="s">
        <v>13</v>
      </c>
      <c r="P168" s="6" t="s">
        <v>23</v>
      </c>
      <c r="Q168" s="7" t="s">
        <v>20</v>
      </c>
      <c r="R168" s="6" t="s">
        <v>20</v>
      </c>
      <c r="S168" s="23" t="s">
        <v>13</v>
      </c>
      <c r="T168" s="24" t="s">
        <v>13</v>
      </c>
    </row>
    <row r="169" spans="1:20" x14ac:dyDescent="0.3">
      <c r="A169" s="17">
        <v>168</v>
      </c>
      <c r="B169" s="6" t="s">
        <v>433</v>
      </c>
      <c r="C169" s="6" t="s">
        <v>263</v>
      </c>
      <c r="D169" s="7">
        <v>5.29</v>
      </c>
      <c r="E169" s="23" t="s">
        <v>11</v>
      </c>
      <c r="F169" s="23">
        <v>4.3599999999999994</v>
      </c>
      <c r="G169" s="23" t="s">
        <v>11</v>
      </c>
      <c r="H169" s="7">
        <v>0.25</v>
      </c>
      <c r="I169" s="23" t="s">
        <v>12</v>
      </c>
      <c r="J169" s="7" t="s">
        <v>20</v>
      </c>
      <c r="K169" s="23" t="s">
        <v>20</v>
      </c>
      <c r="L169" s="23">
        <v>0.25</v>
      </c>
      <c r="M169" s="23" t="s">
        <v>12</v>
      </c>
      <c r="N169" s="8" t="s">
        <v>13</v>
      </c>
      <c r="O169" s="7" t="s">
        <v>13</v>
      </c>
      <c r="P169" s="6" t="s">
        <v>23</v>
      </c>
      <c r="Q169" s="7" t="s">
        <v>20</v>
      </c>
      <c r="R169" s="6" t="s">
        <v>20</v>
      </c>
      <c r="S169" s="23" t="s">
        <v>13</v>
      </c>
      <c r="T169" s="24" t="s">
        <v>13</v>
      </c>
    </row>
    <row r="170" spans="1:20" x14ac:dyDescent="0.3">
      <c r="A170" s="17">
        <v>169</v>
      </c>
      <c r="B170" s="6" t="s">
        <v>434</v>
      </c>
      <c r="C170" s="6" t="s">
        <v>258</v>
      </c>
      <c r="D170" s="7" t="s">
        <v>13</v>
      </c>
      <c r="E170" s="23" t="s">
        <v>20</v>
      </c>
      <c r="F170" s="23">
        <v>11.89</v>
      </c>
      <c r="G170" s="23" t="s">
        <v>11</v>
      </c>
      <c r="H170" s="7">
        <v>4.0299999999999994</v>
      </c>
      <c r="I170" s="23" t="s">
        <v>12</v>
      </c>
      <c r="J170" s="7" t="s">
        <v>20</v>
      </c>
      <c r="K170" s="23" t="s">
        <v>20</v>
      </c>
      <c r="L170" s="23">
        <v>4.0299999999999994</v>
      </c>
      <c r="M170" s="23" t="s">
        <v>12</v>
      </c>
      <c r="N170" s="8" t="s">
        <v>13</v>
      </c>
      <c r="O170" s="7">
        <v>60</v>
      </c>
      <c r="P170" s="6" t="s">
        <v>23</v>
      </c>
      <c r="Q170" s="7" t="s">
        <v>20</v>
      </c>
      <c r="R170" s="6" t="s">
        <v>20</v>
      </c>
      <c r="S170" s="23" t="s">
        <v>13</v>
      </c>
      <c r="T170" s="24" t="s">
        <v>303</v>
      </c>
    </row>
    <row r="171" spans="1:20" x14ac:dyDescent="0.3">
      <c r="A171" s="17">
        <v>170</v>
      </c>
      <c r="B171" s="6" t="s">
        <v>435</v>
      </c>
      <c r="C171" s="6" t="s">
        <v>258</v>
      </c>
      <c r="D171" s="7" t="s">
        <v>13</v>
      </c>
      <c r="E171" s="23" t="s">
        <v>20</v>
      </c>
      <c r="F171" s="23">
        <v>23.78</v>
      </c>
      <c r="G171" s="23" t="s">
        <v>11</v>
      </c>
      <c r="H171" s="7">
        <v>5.37</v>
      </c>
      <c r="I171" s="23" t="s">
        <v>12</v>
      </c>
      <c r="J171" s="7" t="s">
        <v>20</v>
      </c>
      <c r="K171" s="23" t="s">
        <v>20</v>
      </c>
      <c r="L171" s="23">
        <v>5.37</v>
      </c>
      <c r="M171" s="23" t="s">
        <v>12</v>
      </c>
      <c r="N171" s="8" t="s">
        <v>13</v>
      </c>
      <c r="O171" s="7">
        <v>60</v>
      </c>
      <c r="P171" s="6" t="s">
        <v>23</v>
      </c>
      <c r="Q171" s="7" t="s">
        <v>20</v>
      </c>
      <c r="R171" s="6" t="s">
        <v>20</v>
      </c>
      <c r="S171" s="23" t="s">
        <v>13</v>
      </c>
      <c r="T171" s="24" t="s">
        <v>303</v>
      </c>
    </row>
    <row r="172" spans="1:20" x14ac:dyDescent="0.3">
      <c r="A172" s="17">
        <v>171</v>
      </c>
      <c r="B172" s="6" t="s">
        <v>436</v>
      </c>
      <c r="C172" s="6" t="s">
        <v>258</v>
      </c>
      <c r="D172" s="7" t="s">
        <v>13</v>
      </c>
      <c r="E172" s="23" t="s">
        <v>20</v>
      </c>
      <c r="F172" s="23">
        <v>35.669999999999995</v>
      </c>
      <c r="G172" s="23" t="s">
        <v>11</v>
      </c>
      <c r="H172" s="7">
        <v>7.38</v>
      </c>
      <c r="I172" s="23" t="s">
        <v>12</v>
      </c>
      <c r="J172" s="7" t="s">
        <v>20</v>
      </c>
      <c r="K172" s="23" t="s">
        <v>20</v>
      </c>
      <c r="L172" s="23">
        <v>7.38</v>
      </c>
      <c r="M172" s="23" t="s">
        <v>12</v>
      </c>
      <c r="N172" s="8" t="s">
        <v>13</v>
      </c>
      <c r="O172" s="7">
        <v>41</v>
      </c>
      <c r="P172" s="6" t="s">
        <v>23</v>
      </c>
      <c r="Q172" s="7" t="s">
        <v>20</v>
      </c>
      <c r="R172" s="6" t="s">
        <v>20</v>
      </c>
      <c r="S172" s="23" t="s">
        <v>13</v>
      </c>
      <c r="T172" s="24" t="s">
        <v>303</v>
      </c>
    </row>
    <row r="173" spans="1:20" x14ac:dyDescent="0.3">
      <c r="A173" s="17">
        <v>172</v>
      </c>
      <c r="B173" s="6" t="s">
        <v>437</v>
      </c>
      <c r="C173" s="6" t="s">
        <v>258</v>
      </c>
      <c r="D173" s="7" t="s">
        <v>13</v>
      </c>
      <c r="E173" s="23" t="s">
        <v>20</v>
      </c>
      <c r="F173" s="23">
        <v>59.44</v>
      </c>
      <c r="G173" s="23" t="s">
        <v>11</v>
      </c>
      <c r="H173" s="7">
        <v>10.06</v>
      </c>
      <c r="I173" s="23" t="s">
        <v>12</v>
      </c>
      <c r="J173" s="7" t="s">
        <v>20</v>
      </c>
      <c r="K173" s="23" t="s">
        <v>20</v>
      </c>
      <c r="L173" s="23">
        <v>10.06</v>
      </c>
      <c r="M173" s="23" t="s">
        <v>12</v>
      </c>
      <c r="N173" s="8" t="s">
        <v>13</v>
      </c>
      <c r="O173" s="7">
        <v>41</v>
      </c>
      <c r="P173" s="6" t="s">
        <v>23</v>
      </c>
      <c r="Q173" s="7" t="s">
        <v>20</v>
      </c>
      <c r="R173" s="6" t="s">
        <v>20</v>
      </c>
      <c r="S173" s="23" t="s">
        <v>13</v>
      </c>
      <c r="T173" s="24" t="s">
        <v>303</v>
      </c>
    </row>
    <row r="174" spans="1:20" x14ac:dyDescent="0.3">
      <c r="A174" s="17">
        <v>173</v>
      </c>
      <c r="B174" s="6" t="s">
        <v>438</v>
      </c>
      <c r="C174" s="6" t="s">
        <v>258</v>
      </c>
      <c r="D174" s="7" t="s">
        <v>13</v>
      </c>
      <c r="E174" s="23" t="s">
        <v>20</v>
      </c>
      <c r="F174" s="23">
        <v>118.88000000000001</v>
      </c>
      <c r="G174" s="23" t="s">
        <v>11</v>
      </c>
      <c r="H174" s="7">
        <v>14.76</v>
      </c>
      <c r="I174" s="23" t="s">
        <v>12</v>
      </c>
      <c r="J174" s="7" t="s">
        <v>20</v>
      </c>
      <c r="K174" s="23" t="s">
        <v>20</v>
      </c>
      <c r="L174" s="23">
        <v>14.76</v>
      </c>
      <c r="M174" s="23" t="s">
        <v>12</v>
      </c>
      <c r="N174" s="8" t="s">
        <v>13</v>
      </c>
      <c r="O174" s="7">
        <v>33</v>
      </c>
      <c r="P174" s="6" t="s">
        <v>23</v>
      </c>
      <c r="Q174" s="7" t="s">
        <v>20</v>
      </c>
      <c r="R174" s="6" t="s">
        <v>20</v>
      </c>
      <c r="S174" s="23" t="s">
        <v>13</v>
      </c>
      <c r="T174" s="24" t="s">
        <v>303</v>
      </c>
    </row>
    <row r="175" spans="1:20" x14ac:dyDescent="0.3">
      <c r="A175" s="17">
        <v>174</v>
      </c>
      <c r="B175" s="6" t="s">
        <v>439</v>
      </c>
      <c r="C175" s="6" t="s">
        <v>258</v>
      </c>
      <c r="D175" s="7" t="s">
        <v>13</v>
      </c>
      <c r="E175" s="23" t="s">
        <v>20</v>
      </c>
      <c r="F175" s="23">
        <v>237.76</v>
      </c>
      <c r="G175" s="23" t="s">
        <v>11</v>
      </c>
      <c r="H175" s="7">
        <v>20.12</v>
      </c>
      <c r="I175" s="23" t="s">
        <v>12</v>
      </c>
      <c r="J175" s="7" t="s">
        <v>20</v>
      </c>
      <c r="K175" s="23" t="s">
        <v>20</v>
      </c>
      <c r="L175" s="23">
        <v>20.12</v>
      </c>
      <c r="M175" s="23" t="s">
        <v>12</v>
      </c>
      <c r="N175" s="8" t="s">
        <v>13</v>
      </c>
      <c r="O175" s="7">
        <v>33</v>
      </c>
      <c r="P175" s="6" t="s">
        <v>23</v>
      </c>
      <c r="Q175" s="7" t="s">
        <v>20</v>
      </c>
      <c r="R175" s="6" t="s">
        <v>20</v>
      </c>
      <c r="S175" s="23" t="s">
        <v>13</v>
      </c>
      <c r="T175" s="24" t="s">
        <v>303</v>
      </c>
    </row>
    <row r="176" spans="1:20" x14ac:dyDescent="0.3">
      <c r="A176" s="17">
        <v>175</v>
      </c>
      <c r="B176" s="6" t="s">
        <v>440</v>
      </c>
      <c r="C176" s="6" t="s">
        <v>258</v>
      </c>
      <c r="D176" s="7" t="s">
        <v>13</v>
      </c>
      <c r="E176" s="23" t="s">
        <v>20</v>
      </c>
      <c r="F176" s="23">
        <v>356.64</v>
      </c>
      <c r="G176" s="23" t="s">
        <v>11</v>
      </c>
      <c r="H176" s="7">
        <v>24.810000000000002</v>
      </c>
      <c r="I176" s="23" t="s">
        <v>12</v>
      </c>
      <c r="J176" s="7" t="s">
        <v>20</v>
      </c>
      <c r="K176" s="23" t="s">
        <v>20</v>
      </c>
      <c r="L176" s="23">
        <v>24.810000000000002</v>
      </c>
      <c r="M176" s="23" t="s">
        <v>12</v>
      </c>
      <c r="N176" s="8" t="s">
        <v>13</v>
      </c>
      <c r="O176" s="7">
        <v>33</v>
      </c>
      <c r="P176" s="6" t="s">
        <v>23</v>
      </c>
      <c r="Q176" s="7" t="s">
        <v>20</v>
      </c>
      <c r="R176" s="6" t="s">
        <v>20</v>
      </c>
      <c r="S176" s="23" t="s">
        <v>13</v>
      </c>
      <c r="T176" s="24" t="s">
        <v>303</v>
      </c>
    </row>
    <row r="177" spans="1:20" x14ac:dyDescent="0.3">
      <c r="A177" s="17">
        <v>176</v>
      </c>
      <c r="B177" s="6" t="s">
        <v>441</v>
      </c>
      <c r="C177" s="6" t="s">
        <v>258</v>
      </c>
      <c r="D177" s="7" t="s">
        <v>13</v>
      </c>
      <c r="E177" s="23" t="s">
        <v>20</v>
      </c>
      <c r="F177" s="23">
        <v>475.51</v>
      </c>
      <c r="G177" s="23" t="s">
        <v>11</v>
      </c>
      <c r="H177" s="7">
        <v>29.51</v>
      </c>
      <c r="I177" s="23" t="s">
        <v>12</v>
      </c>
      <c r="J177" s="7" t="s">
        <v>20</v>
      </c>
      <c r="K177" s="23" t="s">
        <v>20</v>
      </c>
      <c r="L177" s="23">
        <v>29.51</v>
      </c>
      <c r="M177" s="23" t="s">
        <v>12</v>
      </c>
      <c r="N177" s="8" t="s">
        <v>13</v>
      </c>
      <c r="O177" s="7">
        <v>26</v>
      </c>
      <c r="P177" s="6" t="s">
        <v>23</v>
      </c>
      <c r="Q177" s="7" t="s">
        <v>20</v>
      </c>
      <c r="R177" s="6" t="s">
        <v>20</v>
      </c>
      <c r="S177" s="23" t="s">
        <v>13</v>
      </c>
      <c r="T177" s="24" t="s">
        <v>303</v>
      </c>
    </row>
    <row r="178" spans="1:20" x14ac:dyDescent="0.3">
      <c r="A178" s="17">
        <v>177</v>
      </c>
      <c r="B178" s="6" t="s">
        <v>442</v>
      </c>
      <c r="C178" s="6" t="s">
        <v>258</v>
      </c>
      <c r="D178" s="7" t="s">
        <v>13</v>
      </c>
      <c r="E178" s="23" t="s">
        <v>20</v>
      </c>
      <c r="F178" s="23">
        <v>594.39</v>
      </c>
      <c r="G178" s="23" t="s">
        <v>11</v>
      </c>
      <c r="H178" s="7">
        <v>40.239999999999995</v>
      </c>
      <c r="I178" s="23" t="s">
        <v>12</v>
      </c>
      <c r="J178" s="7" t="s">
        <v>20</v>
      </c>
      <c r="K178" s="23" t="s">
        <v>20</v>
      </c>
      <c r="L178" s="23">
        <v>40.239999999999995</v>
      </c>
      <c r="M178" s="23" t="s">
        <v>12</v>
      </c>
      <c r="N178" s="8" t="s">
        <v>13</v>
      </c>
      <c r="O178" s="7">
        <v>26</v>
      </c>
      <c r="P178" s="6" t="s">
        <v>23</v>
      </c>
      <c r="Q178" s="7" t="s">
        <v>20</v>
      </c>
      <c r="R178" s="6" t="s">
        <v>20</v>
      </c>
      <c r="S178" s="23" t="s">
        <v>13</v>
      </c>
      <c r="T178" s="24" t="s">
        <v>303</v>
      </c>
    </row>
    <row r="179" spans="1:20" x14ac:dyDescent="0.3">
      <c r="A179" s="17">
        <v>178</v>
      </c>
      <c r="B179" s="6" t="s">
        <v>443</v>
      </c>
      <c r="C179" s="6" t="s">
        <v>258</v>
      </c>
      <c r="D179" s="7" t="s">
        <v>13</v>
      </c>
      <c r="E179" s="23" t="s">
        <v>20</v>
      </c>
      <c r="F179" s="23">
        <v>713.27</v>
      </c>
      <c r="G179" s="23" t="s">
        <v>11</v>
      </c>
      <c r="H179" s="7">
        <v>49.62</v>
      </c>
      <c r="I179" s="23" t="s">
        <v>12</v>
      </c>
      <c r="J179" s="7" t="s">
        <v>20</v>
      </c>
      <c r="K179" s="23" t="s">
        <v>20</v>
      </c>
      <c r="L179" s="23">
        <v>49.62</v>
      </c>
      <c r="M179" s="23" t="s">
        <v>12</v>
      </c>
      <c r="N179" s="8" t="s">
        <v>13</v>
      </c>
      <c r="O179" s="7">
        <v>26</v>
      </c>
      <c r="P179" s="6" t="s">
        <v>23</v>
      </c>
      <c r="Q179" s="7" t="s">
        <v>20</v>
      </c>
      <c r="R179" s="6" t="s">
        <v>20</v>
      </c>
      <c r="S179" s="23" t="s">
        <v>13</v>
      </c>
      <c r="T179" s="24" t="s">
        <v>303</v>
      </c>
    </row>
    <row r="180" spans="1:20" x14ac:dyDescent="0.3">
      <c r="A180" s="17">
        <v>179</v>
      </c>
      <c r="B180" s="6" t="s">
        <v>444</v>
      </c>
      <c r="C180" s="6" t="s">
        <v>258</v>
      </c>
      <c r="D180" s="7" t="s">
        <v>13</v>
      </c>
      <c r="E180" s="23" t="s">
        <v>20</v>
      </c>
      <c r="F180" s="23">
        <v>951.02</v>
      </c>
      <c r="G180" s="23" t="s">
        <v>11</v>
      </c>
      <c r="H180" s="7">
        <v>60.35</v>
      </c>
      <c r="I180" s="23" t="s">
        <v>12</v>
      </c>
      <c r="J180" s="7" t="s">
        <v>20</v>
      </c>
      <c r="K180" s="23" t="s">
        <v>20</v>
      </c>
      <c r="L180" s="23">
        <v>60.35</v>
      </c>
      <c r="M180" s="23" t="s">
        <v>12</v>
      </c>
      <c r="N180" s="8" t="s">
        <v>13</v>
      </c>
      <c r="O180" s="7">
        <v>20</v>
      </c>
      <c r="P180" s="6" t="s">
        <v>23</v>
      </c>
      <c r="Q180" s="7" t="s">
        <v>20</v>
      </c>
      <c r="R180" s="6" t="s">
        <v>20</v>
      </c>
      <c r="S180" s="23" t="s">
        <v>13</v>
      </c>
      <c r="T180" s="24" t="s">
        <v>303</v>
      </c>
    </row>
    <row r="181" spans="1:20" x14ac:dyDescent="0.3">
      <c r="A181" s="17">
        <v>180</v>
      </c>
      <c r="B181" s="6" t="s">
        <v>445</v>
      </c>
      <c r="C181" s="6" t="s">
        <v>258</v>
      </c>
      <c r="D181" s="7" t="s">
        <v>13</v>
      </c>
      <c r="E181" s="23" t="s">
        <v>20</v>
      </c>
      <c r="F181" s="23">
        <v>1188.78</v>
      </c>
      <c r="G181" s="23" t="s">
        <v>11</v>
      </c>
      <c r="H181" s="7">
        <v>73.760000000000005</v>
      </c>
      <c r="I181" s="23" t="s">
        <v>12</v>
      </c>
      <c r="J181" s="7" t="s">
        <v>20</v>
      </c>
      <c r="K181" s="23" t="s">
        <v>20</v>
      </c>
      <c r="L181" s="23">
        <v>73.760000000000005</v>
      </c>
      <c r="M181" s="23" t="s">
        <v>12</v>
      </c>
      <c r="N181" s="8" t="s">
        <v>13</v>
      </c>
      <c r="O181" s="7">
        <v>20</v>
      </c>
      <c r="P181" s="6" t="s">
        <v>23</v>
      </c>
      <c r="Q181" s="7" t="s">
        <v>20</v>
      </c>
      <c r="R181" s="6" t="s">
        <v>20</v>
      </c>
      <c r="S181" s="23" t="s">
        <v>13</v>
      </c>
      <c r="T181" s="24" t="s">
        <v>303</v>
      </c>
    </row>
    <row r="182" spans="1:20" x14ac:dyDescent="0.3">
      <c r="A182" s="17">
        <v>181</v>
      </c>
      <c r="B182" s="6" t="s">
        <v>446</v>
      </c>
      <c r="C182" s="6" t="s">
        <v>258</v>
      </c>
      <c r="D182" s="7" t="s">
        <v>13</v>
      </c>
      <c r="E182" s="23" t="s">
        <v>20</v>
      </c>
      <c r="F182" s="23">
        <v>1783.17</v>
      </c>
      <c r="G182" s="23" t="s">
        <v>11</v>
      </c>
      <c r="H182" s="7">
        <v>120.7</v>
      </c>
      <c r="I182" s="23" t="s">
        <v>12</v>
      </c>
      <c r="J182" s="7" t="s">
        <v>20</v>
      </c>
      <c r="K182" s="23" t="s">
        <v>20</v>
      </c>
      <c r="L182" s="23">
        <v>120.7</v>
      </c>
      <c r="M182" s="23" t="s">
        <v>12</v>
      </c>
      <c r="N182" s="8" t="s">
        <v>13</v>
      </c>
      <c r="O182" s="7">
        <v>20</v>
      </c>
      <c r="P182" s="6" t="s">
        <v>23</v>
      </c>
      <c r="Q182" s="7" t="s">
        <v>20</v>
      </c>
      <c r="R182" s="6" t="s">
        <v>20</v>
      </c>
      <c r="S182" s="23" t="s">
        <v>13</v>
      </c>
      <c r="T182" s="24" t="s">
        <v>303</v>
      </c>
    </row>
    <row r="183" spans="1:20" x14ac:dyDescent="0.3">
      <c r="A183" s="17">
        <v>182</v>
      </c>
      <c r="B183" s="6" t="s">
        <v>447</v>
      </c>
      <c r="C183" s="6" t="s">
        <v>258</v>
      </c>
      <c r="D183" s="7" t="s">
        <v>13</v>
      </c>
      <c r="E183" s="23" t="s">
        <v>20</v>
      </c>
      <c r="F183" s="23">
        <v>2377.5500000000002</v>
      </c>
      <c r="G183" s="23" t="s">
        <v>11</v>
      </c>
      <c r="H183" s="7">
        <v>147.51999999999998</v>
      </c>
      <c r="I183" s="23" t="s">
        <v>12</v>
      </c>
      <c r="J183" s="7" t="s">
        <v>20</v>
      </c>
      <c r="K183" s="23" t="s">
        <v>20</v>
      </c>
      <c r="L183" s="23">
        <v>147.51999999999998</v>
      </c>
      <c r="M183" s="23" t="s">
        <v>12</v>
      </c>
      <c r="N183" s="8" t="s">
        <v>13</v>
      </c>
      <c r="O183" s="7">
        <v>18</v>
      </c>
      <c r="P183" s="6" t="s">
        <v>23</v>
      </c>
      <c r="Q183" s="7" t="s">
        <v>20</v>
      </c>
      <c r="R183" s="6" t="s">
        <v>20</v>
      </c>
      <c r="S183" s="23" t="s">
        <v>13</v>
      </c>
      <c r="T183" s="24" t="s">
        <v>303</v>
      </c>
    </row>
    <row r="184" spans="1:20" x14ac:dyDescent="0.3">
      <c r="A184" s="17">
        <v>183</v>
      </c>
      <c r="B184" s="6" t="s">
        <v>448</v>
      </c>
      <c r="C184" s="6" t="s">
        <v>258</v>
      </c>
      <c r="D184" s="7" t="s">
        <v>13</v>
      </c>
      <c r="E184" s="23" t="s">
        <v>20</v>
      </c>
      <c r="F184" s="23">
        <v>3566.3300000000004</v>
      </c>
      <c r="G184" s="23" t="s">
        <v>11</v>
      </c>
      <c r="H184" s="7">
        <v>177.01999999999998</v>
      </c>
      <c r="I184" s="23" t="s">
        <v>12</v>
      </c>
      <c r="J184" s="7" t="s">
        <v>20</v>
      </c>
      <c r="K184" s="23" t="s">
        <v>20</v>
      </c>
      <c r="L184" s="23">
        <v>177.01999999999998</v>
      </c>
      <c r="M184" s="23" t="s">
        <v>12</v>
      </c>
      <c r="N184" s="8" t="s">
        <v>13</v>
      </c>
      <c r="O184" s="7">
        <v>16</v>
      </c>
      <c r="P184" s="6" t="s">
        <v>23</v>
      </c>
      <c r="Q184" s="7" t="s">
        <v>20</v>
      </c>
      <c r="R184" s="6" t="s">
        <v>20</v>
      </c>
      <c r="S184" s="23" t="s">
        <v>13</v>
      </c>
      <c r="T184" s="24" t="s">
        <v>303</v>
      </c>
    </row>
    <row r="185" spans="1:20" x14ac:dyDescent="0.3">
      <c r="A185" s="17">
        <v>184</v>
      </c>
      <c r="B185" s="6" t="s">
        <v>449</v>
      </c>
      <c r="C185" s="6" t="s">
        <v>263</v>
      </c>
      <c r="D185" s="7">
        <v>61.47</v>
      </c>
      <c r="E185" s="23" t="s">
        <v>11</v>
      </c>
      <c r="F185" s="23">
        <v>11.89</v>
      </c>
      <c r="G185" s="23" t="s">
        <v>11</v>
      </c>
      <c r="H185" s="7">
        <v>2.0199999999999996</v>
      </c>
      <c r="I185" s="23" t="s">
        <v>12</v>
      </c>
      <c r="J185" s="7" t="s">
        <v>20</v>
      </c>
      <c r="K185" s="23" t="s">
        <v>20</v>
      </c>
      <c r="L185" s="23">
        <v>2.0199999999999996</v>
      </c>
      <c r="M185" s="23" t="s">
        <v>12</v>
      </c>
      <c r="N185" s="8" t="s">
        <v>13</v>
      </c>
      <c r="O185" s="7">
        <v>108</v>
      </c>
      <c r="P185" s="6" t="s">
        <v>23</v>
      </c>
      <c r="Q185" s="7" t="s">
        <v>20</v>
      </c>
      <c r="R185" s="6" t="s">
        <v>20</v>
      </c>
      <c r="S185" s="23" t="s">
        <v>13</v>
      </c>
      <c r="T185" s="24" t="s">
        <v>270</v>
      </c>
    </row>
    <row r="186" spans="1:20" x14ac:dyDescent="0.3">
      <c r="A186" s="17">
        <v>185</v>
      </c>
      <c r="B186" s="6" t="s">
        <v>450</v>
      </c>
      <c r="C186" s="6" t="s">
        <v>263</v>
      </c>
      <c r="D186" s="7">
        <v>212.2</v>
      </c>
      <c r="E186" s="23" t="s">
        <v>11</v>
      </c>
      <c r="F186" s="23">
        <v>59.44</v>
      </c>
      <c r="G186" s="23" t="s">
        <v>11</v>
      </c>
      <c r="H186" s="7">
        <v>4.0299999999999994</v>
      </c>
      <c r="I186" s="23" t="s">
        <v>12</v>
      </c>
      <c r="J186" s="7" t="s">
        <v>20</v>
      </c>
      <c r="K186" s="23" t="s">
        <v>20</v>
      </c>
      <c r="L186" s="23">
        <v>4.0299999999999994</v>
      </c>
      <c r="M186" s="23" t="s">
        <v>12</v>
      </c>
      <c r="N186" s="8" t="s">
        <v>13</v>
      </c>
      <c r="O186" s="7">
        <v>108</v>
      </c>
      <c r="P186" s="6" t="s">
        <v>23</v>
      </c>
      <c r="Q186" s="7" t="s">
        <v>20</v>
      </c>
      <c r="R186" s="6" t="s">
        <v>20</v>
      </c>
      <c r="S186" s="23" t="s">
        <v>13</v>
      </c>
      <c r="T186" s="24" t="s">
        <v>270</v>
      </c>
    </row>
    <row r="187" spans="1:20" x14ac:dyDescent="0.3">
      <c r="A187" s="17">
        <v>186</v>
      </c>
      <c r="B187" s="6" t="s">
        <v>451</v>
      </c>
      <c r="C187" s="6" t="s">
        <v>263</v>
      </c>
      <c r="D187" s="7">
        <v>431.75</v>
      </c>
      <c r="E187" s="23" t="s">
        <v>11</v>
      </c>
      <c r="F187" s="23">
        <v>118.88000000000001</v>
      </c>
      <c r="G187" s="23" t="s">
        <v>11</v>
      </c>
      <c r="H187" s="7">
        <v>7.38</v>
      </c>
      <c r="I187" s="23" t="s">
        <v>12</v>
      </c>
      <c r="J187" s="7" t="s">
        <v>20</v>
      </c>
      <c r="K187" s="23" t="s">
        <v>20</v>
      </c>
      <c r="L187" s="23">
        <v>7.38</v>
      </c>
      <c r="M187" s="23" t="s">
        <v>12</v>
      </c>
      <c r="N187" s="8" t="s">
        <v>13</v>
      </c>
      <c r="O187" s="7">
        <v>57</v>
      </c>
      <c r="P187" s="6" t="s">
        <v>23</v>
      </c>
      <c r="Q187" s="7" t="s">
        <v>20</v>
      </c>
      <c r="R187" s="6" t="s">
        <v>20</v>
      </c>
      <c r="S187" s="23" t="s">
        <v>13</v>
      </c>
      <c r="T187" s="24" t="s">
        <v>270</v>
      </c>
    </row>
    <row r="188" spans="1:20" x14ac:dyDescent="0.3">
      <c r="A188" s="17">
        <v>187</v>
      </c>
      <c r="B188" s="6" t="s">
        <v>452</v>
      </c>
      <c r="C188" s="6" t="s">
        <v>263</v>
      </c>
      <c r="D188" s="7">
        <v>804.1</v>
      </c>
      <c r="E188" s="23" t="s">
        <v>11</v>
      </c>
      <c r="F188" s="23">
        <v>237.76</v>
      </c>
      <c r="G188" s="23" t="s">
        <v>11</v>
      </c>
      <c r="H188" s="7">
        <v>7.38</v>
      </c>
      <c r="I188" s="23" t="s">
        <v>12</v>
      </c>
      <c r="J188" s="7" t="s">
        <v>20</v>
      </c>
      <c r="K188" s="23" t="s">
        <v>20</v>
      </c>
      <c r="L188" s="23">
        <v>7.38</v>
      </c>
      <c r="M188" s="23" t="s">
        <v>12</v>
      </c>
      <c r="N188" s="8" t="s">
        <v>13</v>
      </c>
      <c r="O188" s="7">
        <v>57</v>
      </c>
      <c r="P188" s="6" t="s">
        <v>23</v>
      </c>
      <c r="Q188" s="7" t="s">
        <v>20</v>
      </c>
      <c r="R188" s="6" t="s">
        <v>20</v>
      </c>
      <c r="S188" s="23" t="s">
        <v>13</v>
      </c>
      <c r="T188" s="24" t="s">
        <v>270</v>
      </c>
    </row>
    <row r="189" spans="1:20" x14ac:dyDescent="0.3">
      <c r="A189" s="17">
        <v>188</v>
      </c>
      <c r="B189" s="6" t="s">
        <v>453</v>
      </c>
      <c r="C189" s="6" t="s">
        <v>263</v>
      </c>
      <c r="D189" s="7">
        <v>1104.46</v>
      </c>
      <c r="E189" s="23" t="s">
        <v>11</v>
      </c>
      <c r="F189" s="23">
        <v>356.64</v>
      </c>
      <c r="G189" s="23" t="s">
        <v>11</v>
      </c>
      <c r="H189" s="7">
        <v>10.06</v>
      </c>
      <c r="I189" s="23" t="s">
        <v>12</v>
      </c>
      <c r="J189" s="7" t="s">
        <v>20</v>
      </c>
      <c r="K189" s="23" t="s">
        <v>20</v>
      </c>
      <c r="L189" s="23">
        <v>10.06</v>
      </c>
      <c r="M189" s="23" t="s">
        <v>12</v>
      </c>
      <c r="N189" s="8" t="s">
        <v>13</v>
      </c>
      <c r="O189" s="7">
        <v>57</v>
      </c>
      <c r="P189" s="6" t="s">
        <v>23</v>
      </c>
      <c r="Q189" s="7" t="s">
        <v>20</v>
      </c>
      <c r="R189" s="6" t="s">
        <v>20</v>
      </c>
      <c r="S189" s="23" t="s">
        <v>13</v>
      </c>
      <c r="T189" s="24" t="s">
        <v>270</v>
      </c>
    </row>
    <row r="190" spans="1:20" x14ac:dyDescent="0.3">
      <c r="A190" s="17">
        <v>189</v>
      </c>
      <c r="B190" s="6" t="s">
        <v>454</v>
      </c>
      <c r="C190" s="6" t="s">
        <v>263</v>
      </c>
      <c r="D190" s="7">
        <v>1568.56</v>
      </c>
      <c r="E190" s="23" t="s">
        <v>11</v>
      </c>
      <c r="F190" s="23">
        <v>475.51</v>
      </c>
      <c r="G190" s="23" t="s">
        <v>11</v>
      </c>
      <c r="H190" s="7">
        <v>14.76</v>
      </c>
      <c r="I190" s="23" t="s">
        <v>12</v>
      </c>
      <c r="J190" s="7" t="s">
        <v>20</v>
      </c>
      <c r="K190" s="23" t="s">
        <v>20</v>
      </c>
      <c r="L190" s="23">
        <v>14.76</v>
      </c>
      <c r="M190" s="23" t="s">
        <v>12</v>
      </c>
      <c r="N190" s="8" t="s">
        <v>13</v>
      </c>
      <c r="O190" s="7">
        <v>57</v>
      </c>
      <c r="P190" s="6" t="s">
        <v>23</v>
      </c>
      <c r="Q190" s="7" t="s">
        <v>20</v>
      </c>
      <c r="R190" s="6" t="s">
        <v>20</v>
      </c>
      <c r="S190" s="23" t="s">
        <v>13</v>
      </c>
      <c r="T190" s="24" t="s">
        <v>270</v>
      </c>
    </row>
    <row r="191" spans="1:20" x14ac:dyDescent="0.3">
      <c r="A191" s="17">
        <v>190</v>
      </c>
      <c r="B191" s="6" t="s">
        <v>455</v>
      </c>
      <c r="C191" s="6" t="s">
        <v>263</v>
      </c>
      <c r="D191" s="7">
        <v>1802.75</v>
      </c>
      <c r="E191" s="23" t="s">
        <v>11</v>
      </c>
      <c r="F191" s="23">
        <v>594.39</v>
      </c>
      <c r="G191" s="23" t="s">
        <v>11</v>
      </c>
      <c r="H191" s="7">
        <v>20.12</v>
      </c>
      <c r="I191" s="23" t="s">
        <v>12</v>
      </c>
      <c r="J191" s="7" t="s">
        <v>20</v>
      </c>
      <c r="K191" s="23" t="s">
        <v>20</v>
      </c>
      <c r="L191" s="23">
        <v>20.12</v>
      </c>
      <c r="M191" s="23" t="s">
        <v>12</v>
      </c>
      <c r="N191" s="8" t="s">
        <v>13</v>
      </c>
      <c r="O191" s="7">
        <v>57</v>
      </c>
      <c r="P191" s="6" t="s">
        <v>23</v>
      </c>
      <c r="Q191" s="7" t="s">
        <v>20</v>
      </c>
      <c r="R191" s="6" t="s">
        <v>20</v>
      </c>
      <c r="S191" s="23" t="s">
        <v>13</v>
      </c>
      <c r="T191" s="24" t="s">
        <v>270</v>
      </c>
    </row>
    <row r="192" spans="1:20" x14ac:dyDescent="0.3">
      <c r="A192" s="17">
        <v>191</v>
      </c>
      <c r="B192" s="6" t="s">
        <v>456</v>
      </c>
      <c r="C192" s="6" t="s">
        <v>263</v>
      </c>
      <c r="D192" s="7">
        <v>2257.1800000000003</v>
      </c>
      <c r="E192" s="23" t="s">
        <v>11</v>
      </c>
      <c r="F192" s="23">
        <v>713.27</v>
      </c>
      <c r="G192" s="23" t="s">
        <v>11</v>
      </c>
      <c r="H192" s="7">
        <v>20.12</v>
      </c>
      <c r="I192" s="23" t="s">
        <v>12</v>
      </c>
      <c r="J192" s="7" t="s">
        <v>20</v>
      </c>
      <c r="K192" s="23" t="s">
        <v>20</v>
      </c>
      <c r="L192" s="23">
        <v>20.12</v>
      </c>
      <c r="M192" s="23" t="s">
        <v>12</v>
      </c>
      <c r="N192" s="8" t="s">
        <v>13</v>
      </c>
      <c r="O192" s="7">
        <v>57</v>
      </c>
      <c r="P192" s="6" t="s">
        <v>23</v>
      </c>
      <c r="Q192" s="7" t="s">
        <v>20</v>
      </c>
      <c r="R192" s="6" t="s">
        <v>20</v>
      </c>
      <c r="S192" s="23" t="s">
        <v>13</v>
      </c>
      <c r="T192" s="24" t="s">
        <v>270</v>
      </c>
    </row>
    <row r="193" spans="1:20" x14ac:dyDescent="0.3">
      <c r="A193" s="17">
        <v>192</v>
      </c>
      <c r="B193" s="6" t="s">
        <v>457</v>
      </c>
      <c r="C193" s="6" t="s">
        <v>263</v>
      </c>
      <c r="D193" s="7">
        <v>2864.9100000000003</v>
      </c>
      <c r="E193" s="23" t="s">
        <v>11</v>
      </c>
      <c r="F193" s="23">
        <v>951.02</v>
      </c>
      <c r="G193" s="23" t="s">
        <v>11</v>
      </c>
      <c r="H193" s="7">
        <v>24.810000000000002</v>
      </c>
      <c r="I193" s="23" t="s">
        <v>12</v>
      </c>
      <c r="J193" s="7" t="s">
        <v>20</v>
      </c>
      <c r="K193" s="23" t="s">
        <v>20</v>
      </c>
      <c r="L193" s="23">
        <v>24.810000000000002</v>
      </c>
      <c r="M193" s="23" t="s">
        <v>12</v>
      </c>
      <c r="N193" s="8" t="s">
        <v>13</v>
      </c>
      <c r="O193" s="7">
        <v>57</v>
      </c>
      <c r="P193" s="6" t="s">
        <v>23</v>
      </c>
      <c r="Q193" s="7" t="s">
        <v>20</v>
      </c>
      <c r="R193" s="6" t="s">
        <v>20</v>
      </c>
      <c r="S193" s="23" t="s">
        <v>13</v>
      </c>
      <c r="T193" s="24" t="s">
        <v>270</v>
      </c>
    </row>
    <row r="194" spans="1:20" x14ac:dyDescent="0.3">
      <c r="A194" s="17">
        <v>193</v>
      </c>
      <c r="B194" s="6" t="s">
        <v>458</v>
      </c>
      <c r="C194" s="6" t="s">
        <v>263</v>
      </c>
      <c r="D194" s="7">
        <v>3664.7700000000004</v>
      </c>
      <c r="E194" s="23" t="s">
        <v>11</v>
      </c>
      <c r="F194" s="23">
        <v>1188.78</v>
      </c>
      <c r="G194" s="23" t="s">
        <v>11</v>
      </c>
      <c r="H194" s="7">
        <v>24.810000000000002</v>
      </c>
      <c r="I194" s="23" t="s">
        <v>12</v>
      </c>
      <c r="J194" s="7" t="s">
        <v>20</v>
      </c>
      <c r="K194" s="23" t="s">
        <v>20</v>
      </c>
      <c r="L194" s="23">
        <v>24.810000000000002</v>
      </c>
      <c r="M194" s="23" t="s">
        <v>12</v>
      </c>
      <c r="N194" s="8" t="s">
        <v>13</v>
      </c>
      <c r="O194" s="7">
        <v>57</v>
      </c>
      <c r="P194" s="6" t="s">
        <v>23</v>
      </c>
      <c r="Q194" s="7" t="s">
        <v>20</v>
      </c>
      <c r="R194" s="6" t="s">
        <v>20</v>
      </c>
      <c r="S194" s="23" t="s">
        <v>13</v>
      </c>
      <c r="T194" s="24" t="s">
        <v>270</v>
      </c>
    </row>
    <row r="195" spans="1:20" x14ac:dyDescent="0.3">
      <c r="A195" s="17">
        <v>194</v>
      </c>
      <c r="B195" s="6" t="s">
        <v>459</v>
      </c>
      <c r="C195" s="6" t="s">
        <v>263</v>
      </c>
      <c r="D195" s="7">
        <v>5390.01</v>
      </c>
      <c r="E195" s="23" t="s">
        <v>11</v>
      </c>
      <c r="F195" s="23">
        <v>1783.17</v>
      </c>
      <c r="G195" s="23" t="s">
        <v>11</v>
      </c>
      <c r="H195" s="7">
        <v>29.51</v>
      </c>
      <c r="I195" s="23" t="s">
        <v>12</v>
      </c>
      <c r="J195" s="7" t="s">
        <v>20</v>
      </c>
      <c r="K195" s="23" t="s">
        <v>20</v>
      </c>
      <c r="L195" s="23">
        <v>29.51</v>
      </c>
      <c r="M195" s="23" t="s">
        <v>12</v>
      </c>
      <c r="N195" s="8" t="s">
        <v>13</v>
      </c>
      <c r="O195" s="7">
        <v>57</v>
      </c>
      <c r="P195" s="6" t="s">
        <v>23</v>
      </c>
      <c r="Q195" s="7" t="s">
        <v>20</v>
      </c>
      <c r="R195" s="6" t="s">
        <v>20</v>
      </c>
      <c r="S195" s="23" t="s">
        <v>13</v>
      </c>
      <c r="T195" s="24" t="s">
        <v>270</v>
      </c>
    </row>
    <row r="196" spans="1:20" x14ac:dyDescent="0.3">
      <c r="A196" s="17">
        <v>195</v>
      </c>
      <c r="B196" s="6" t="s">
        <v>460</v>
      </c>
      <c r="C196" s="6" t="s">
        <v>263</v>
      </c>
      <c r="D196" s="7">
        <v>7449.2</v>
      </c>
      <c r="E196" s="23" t="s">
        <v>11</v>
      </c>
      <c r="F196" s="23">
        <v>2377.5500000000002</v>
      </c>
      <c r="G196" s="23" t="s">
        <v>11</v>
      </c>
      <c r="H196" s="7">
        <v>49.62</v>
      </c>
      <c r="I196" s="23" t="s">
        <v>12</v>
      </c>
      <c r="J196" s="7" t="s">
        <v>20</v>
      </c>
      <c r="K196" s="23" t="s">
        <v>20</v>
      </c>
      <c r="L196" s="23">
        <v>49.62</v>
      </c>
      <c r="M196" s="23" t="s">
        <v>12</v>
      </c>
      <c r="N196" s="8" t="s">
        <v>13</v>
      </c>
      <c r="O196" s="7">
        <v>57</v>
      </c>
      <c r="P196" s="6" t="s">
        <v>23</v>
      </c>
      <c r="Q196" s="7" t="s">
        <v>20</v>
      </c>
      <c r="R196" s="6" t="s">
        <v>20</v>
      </c>
      <c r="S196" s="23" t="s">
        <v>13</v>
      </c>
      <c r="T196" s="24" t="s">
        <v>270</v>
      </c>
    </row>
    <row r="197" spans="1:20" x14ac:dyDescent="0.3">
      <c r="A197" s="17">
        <v>196</v>
      </c>
      <c r="B197" s="6" t="s">
        <v>461</v>
      </c>
      <c r="C197" s="6" t="s">
        <v>263</v>
      </c>
      <c r="D197" s="7">
        <v>9023.9600000000009</v>
      </c>
      <c r="E197" s="23" t="s">
        <v>11</v>
      </c>
      <c r="F197" s="23">
        <v>2971.94</v>
      </c>
      <c r="G197" s="23" t="s">
        <v>11</v>
      </c>
      <c r="H197" s="7">
        <v>60.35</v>
      </c>
      <c r="I197" s="23" t="s">
        <v>12</v>
      </c>
      <c r="J197" s="7" t="s">
        <v>20</v>
      </c>
      <c r="K197" s="23" t="s">
        <v>20</v>
      </c>
      <c r="L197" s="23">
        <v>60.35</v>
      </c>
      <c r="M197" s="23" t="s">
        <v>12</v>
      </c>
      <c r="N197" s="8" t="s">
        <v>13</v>
      </c>
      <c r="O197" s="7">
        <v>57</v>
      </c>
      <c r="P197" s="6" t="s">
        <v>23</v>
      </c>
      <c r="Q197" s="7" t="s">
        <v>20</v>
      </c>
      <c r="R197" s="6" t="s">
        <v>20</v>
      </c>
      <c r="S197" s="23" t="s">
        <v>13</v>
      </c>
      <c r="T197" s="24" t="s">
        <v>270</v>
      </c>
    </row>
    <row r="198" spans="1:20" x14ac:dyDescent="0.3">
      <c r="A198" s="17">
        <v>197</v>
      </c>
      <c r="B198" s="6" t="s">
        <v>462</v>
      </c>
      <c r="C198" s="6" t="s">
        <v>263</v>
      </c>
      <c r="D198" s="7">
        <v>10731.2</v>
      </c>
      <c r="E198" s="23" t="s">
        <v>11</v>
      </c>
      <c r="F198" s="23">
        <v>3566.3300000000004</v>
      </c>
      <c r="G198" s="23" t="s">
        <v>11</v>
      </c>
      <c r="H198" s="7">
        <v>73.760000000000005</v>
      </c>
      <c r="I198" s="23" t="s">
        <v>12</v>
      </c>
      <c r="J198" s="7" t="s">
        <v>20</v>
      </c>
      <c r="K198" s="23" t="s">
        <v>20</v>
      </c>
      <c r="L198" s="23">
        <v>73.760000000000005</v>
      </c>
      <c r="M198" s="23" t="s">
        <v>12</v>
      </c>
      <c r="N198" s="8" t="s">
        <v>13</v>
      </c>
      <c r="O198" s="7">
        <v>57</v>
      </c>
      <c r="P198" s="6" t="s">
        <v>23</v>
      </c>
      <c r="Q198" s="7" t="s">
        <v>20</v>
      </c>
      <c r="R198" s="6" t="s">
        <v>20</v>
      </c>
      <c r="S198" s="23" t="s">
        <v>13</v>
      </c>
      <c r="T198" s="24" t="s">
        <v>270</v>
      </c>
    </row>
    <row r="199" spans="1:20" x14ac:dyDescent="0.3">
      <c r="A199" s="17">
        <v>198</v>
      </c>
      <c r="B199" s="6" t="s">
        <v>463</v>
      </c>
      <c r="C199" s="6" t="s">
        <v>360</v>
      </c>
      <c r="D199" s="7">
        <v>55.51</v>
      </c>
      <c r="E199" s="23" t="s">
        <v>11</v>
      </c>
      <c r="F199" s="23">
        <v>13.209999999999999</v>
      </c>
      <c r="G199" s="23" t="s">
        <v>11</v>
      </c>
      <c r="H199" s="7">
        <v>2.96</v>
      </c>
      <c r="I199" s="23" t="s">
        <v>12</v>
      </c>
      <c r="J199" s="7" t="s">
        <v>20</v>
      </c>
      <c r="K199" s="23" t="s">
        <v>20</v>
      </c>
      <c r="L199" s="23">
        <v>2.96</v>
      </c>
      <c r="M199" s="23" t="s">
        <v>12</v>
      </c>
      <c r="N199" s="8" t="s">
        <v>13</v>
      </c>
      <c r="O199" s="7" t="s">
        <v>13</v>
      </c>
      <c r="P199" s="6" t="s">
        <v>23</v>
      </c>
      <c r="Q199" s="7" t="s">
        <v>20</v>
      </c>
      <c r="R199" s="6" t="s">
        <v>20</v>
      </c>
      <c r="S199" s="23" t="s">
        <v>13</v>
      </c>
      <c r="T199" s="24" t="s">
        <v>288</v>
      </c>
    </row>
    <row r="200" spans="1:20" x14ac:dyDescent="0.3">
      <c r="A200" s="17">
        <v>199</v>
      </c>
      <c r="B200" s="6" t="s">
        <v>464</v>
      </c>
      <c r="C200" s="6" t="s">
        <v>360</v>
      </c>
      <c r="D200" s="7">
        <v>112.98</v>
      </c>
      <c r="E200" s="23" t="s">
        <v>11</v>
      </c>
      <c r="F200" s="23">
        <v>39.629999999999995</v>
      </c>
      <c r="G200" s="23" t="s">
        <v>11</v>
      </c>
      <c r="H200" s="7">
        <v>2.96</v>
      </c>
      <c r="I200" s="23" t="s">
        <v>12</v>
      </c>
      <c r="J200" s="7" t="s">
        <v>20</v>
      </c>
      <c r="K200" s="23" t="s">
        <v>20</v>
      </c>
      <c r="L200" s="23">
        <v>2.96</v>
      </c>
      <c r="M200" s="23" t="s">
        <v>12</v>
      </c>
      <c r="N200" s="8" t="s">
        <v>13</v>
      </c>
      <c r="O200" s="7" t="s">
        <v>13</v>
      </c>
      <c r="P200" s="6" t="s">
        <v>23</v>
      </c>
      <c r="Q200" s="7" t="s">
        <v>20</v>
      </c>
      <c r="R200" s="6" t="s">
        <v>20</v>
      </c>
      <c r="S200" s="23" t="s">
        <v>13</v>
      </c>
      <c r="T200" s="24" t="s">
        <v>288</v>
      </c>
    </row>
    <row r="201" spans="1:20" x14ac:dyDescent="0.3">
      <c r="A201" s="17">
        <v>200</v>
      </c>
      <c r="B201" s="6" t="s">
        <v>465</v>
      </c>
      <c r="C201" s="6" t="s">
        <v>360</v>
      </c>
      <c r="D201" s="7">
        <v>208.53</v>
      </c>
      <c r="E201" s="23" t="s">
        <v>11</v>
      </c>
      <c r="F201" s="23">
        <v>66.050000000000011</v>
      </c>
      <c r="G201" s="23" t="s">
        <v>11</v>
      </c>
      <c r="H201" s="7">
        <v>5.37</v>
      </c>
      <c r="I201" s="23" t="s">
        <v>12</v>
      </c>
      <c r="J201" s="7" t="s">
        <v>20</v>
      </c>
      <c r="K201" s="23" t="s">
        <v>20</v>
      </c>
      <c r="L201" s="23">
        <v>5.37</v>
      </c>
      <c r="M201" s="23" t="s">
        <v>12</v>
      </c>
      <c r="N201" s="8" t="s">
        <v>13</v>
      </c>
      <c r="O201" s="7" t="s">
        <v>13</v>
      </c>
      <c r="P201" s="6" t="s">
        <v>23</v>
      </c>
      <c r="Q201" s="7" t="s">
        <v>20</v>
      </c>
      <c r="R201" s="6" t="s">
        <v>20</v>
      </c>
      <c r="S201" s="23" t="s">
        <v>13</v>
      </c>
      <c r="T201" s="24" t="s">
        <v>288</v>
      </c>
    </row>
    <row r="202" spans="1:20" x14ac:dyDescent="0.3">
      <c r="A202" s="17">
        <v>201</v>
      </c>
      <c r="B202" s="6" t="s">
        <v>466</v>
      </c>
      <c r="C202" s="6" t="s">
        <v>360</v>
      </c>
      <c r="D202" s="7">
        <v>434.78</v>
      </c>
      <c r="E202" s="23" t="s">
        <v>11</v>
      </c>
      <c r="F202" s="23">
        <v>132.09</v>
      </c>
      <c r="G202" s="23" t="s">
        <v>11</v>
      </c>
      <c r="H202" s="7">
        <v>10.06</v>
      </c>
      <c r="I202" s="23" t="s">
        <v>12</v>
      </c>
      <c r="J202" s="7" t="s">
        <v>20</v>
      </c>
      <c r="K202" s="23" t="s">
        <v>20</v>
      </c>
      <c r="L202" s="23">
        <v>10.06</v>
      </c>
      <c r="M202" s="23" t="s">
        <v>12</v>
      </c>
      <c r="N202" s="8" t="s">
        <v>13</v>
      </c>
      <c r="O202" s="7" t="s">
        <v>13</v>
      </c>
      <c r="P202" s="6" t="s">
        <v>23</v>
      </c>
      <c r="Q202" s="7" t="s">
        <v>20</v>
      </c>
      <c r="R202" s="6" t="s">
        <v>20</v>
      </c>
      <c r="S202" s="23" t="s">
        <v>13</v>
      </c>
      <c r="T202" s="24" t="s">
        <v>288</v>
      </c>
    </row>
    <row r="203" spans="1:20" x14ac:dyDescent="0.3">
      <c r="A203" s="17">
        <v>202</v>
      </c>
      <c r="B203" s="6" t="s">
        <v>467</v>
      </c>
      <c r="C203" s="6" t="s">
        <v>360</v>
      </c>
      <c r="D203" s="7">
        <v>576.98</v>
      </c>
      <c r="E203" s="23" t="s">
        <v>11</v>
      </c>
      <c r="F203" s="23">
        <v>198.13</v>
      </c>
      <c r="G203" s="23" t="s">
        <v>11</v>
      </c>
      <c r="H203" s="7">
        <v>14.76</v>
      </c>
      <c r="I203" s="23" t="s">
        <v>12</v>
      </c>
      <c r="J203" s="7" t="s">
        <v>20</v>
      </c>
      <c r="K203" s="23" t="s">
        <v>20</v>
      </c>
      <c r="L203" s="23">
        <v>14.76</v>
      </c>
      <c r="M203" s="23" t="s">
        <v>12</v>
      </c>
      <c r="N203" s="8" t="s">
        <v>13</v>
      </c>
      <c r="O203" s="7" t="s">
        <v>13</v>
      </c>
      <c r="P203" s="6" t="s">
        <v>23</v>
      </c>
      <c r="Q203" s="7" t="s">
        <v>20</v>
      </c>
      <c r="R203" s="6" t="s">
        <v>20</v>
      </c>
      <c r="S203" s="23" t="s">
        <v>13</v>
      </c>
      <c r="T203" s="24" t="s">
        <v>288</v>
      </c>
    </row>
    <row r="204" spans="1:20" x14ac:dyDescent="0.3">
      <c r="A204" s="17">
        <v>203</v>
      </c>
      <c r="B204" s="6" t="s">
        <v>468</v>
      </c>
      <c r="C204" s="6" t="s">
        <v>360</v>
      </c>
      <c r="D204" s="7">
        <v>782.04</v>
      </c>
      <c r="E204" s="23" t="s">
        <v>11</v>
      </c>
      <c r="F204" s="23">
        <v>264.18</v>
      </c>
      <c r="G204" s="23" t="s">
        <v>11</v>
      </c>
      <c r="H204" s="7">
        <v>14.76</v>
      </c>
      <c r="I204" s="23" t="s">
        <v>12</v>
      </c>
      <c r="J204" s="7" t="s">
        <v>20</v>
      </c>
      <c r="K204" s="23" t="s">
        <v>20</v>
      </c>
      <c r="L204" s="23">
        <v>14.76</v>
      </c>
      <c r="M204" s="23" t="s">
        <v>12</v>
      </c>
      <c r="N204" s="8" t="s">
        <v>13</v>
      </c>
      <c r="O204" s="7" t="s">
        <v>13</v>
      </c>
      <c r="P204" s="6" t="s">
        <v>23</v>
      </c>
      <c r="Q204" s="7" t="s">
        <v>20</v>
      </c>
      <c r="R204" s="6" t="s">
        <v>20</v>
      </c>
      <c r="S204" s="23" t="s">
        <v>13</v>
      </c>
      <c r="T204" s="24" t="s">
        <v>288</v>
      </c>
    </row>
    <row r="205" spans="1:20" x14ac:dyDescent="0.3">
      <c r="A205" s="17">
        <v>204</v>
      </c>
      <c r="B205" s="6" t="s">
        <v>469</v>
      </c>
      <c r="C205" s="6" t="s">
        <v>360</v>
      </c>
      <c r="D205" s="7">
        <v>1040.17</v>
      </c>
      <c r="E205" s="23" t="s">
        <v>11</v>
      </c>
      <c r="F205" s="23">
        <v>396.26</v>
      </c>
      <c r="G205" s="23" t="s">
        <v>11</v>
      </c>
      <c r="H205" s="7">
        <v>20.12</v>
      </c>
      <c r="I205" s="23" t="s">
        <v>12</v>
      </c>
      <c r="J205" s="7" t="s">
        <v>20</v>
      </c>
      <c r="K205" s="23" t="s">
        <v>20</v>
      </c>
      <c r="L205" s="23">
        <v>20.12</v>
      </c>
      <c r="M205" s="23" t="s">
        <v>12</v>
      </c>
      <c r="N205" s="8" t="s">
        <v>13</v>
      </c>
      <c r="O205" s="7" t="s">
        <v>13</v>
      </c>
      <c r="P205" s="6" t="s">
        <v>23</v>
      </c>
      <c r="Q205" s="7" t="s">
        <v>20</v>
      </c>
      <c r="R205" s="6" t="s">
        <v>20</v>
      </c>
      <c r="S205" s="23" t="s">
        <v>13</v>
      </c>
      <c r="T205" s="24" t="s">
        <v>288</v>
      </c>
    </row>
    <row r="206" spans="1:20" x14ac:dyDescent="0.3">
      <c r="A206" s="17">
        <v>205</v>
      </c>
      <c r="B206" s="6" t="s">
        <v>470</v>
      </c>
      <c r="C206" s="6" t="s">
        <v>360</v>
      </c>
      <c r="D206" s="7">
        <v>1549.3</v>
      </c>
      <c r="E206" s="23" t="s">
        <v>11</v>
      </c>
      <c r="F206" s="23">
        <v>528.35</v>
      </c>
      <c r="G206" s="23" t="s">
        <v>11</v>
      </c>
      <c r="H206" s="7">
        <v>24.810000000000002</v>
      </c>
      <c r="I206" s="23" t="s">
        <v>12</v>
      </c>
      <c r="J206" s="7" t="s">
        <v>20</v>
      </c>
      <c r="K206" s="23" t="s">
        <v>20</v>
      </c>
      <c r="L206" s="23">
        <v>24.810000000000002</v>
      </c>
      <c r="M206" s="23" t="s">
        <v>12</v>
      </c>
      <c r="N206" s="8" t="s">
        <v>13</v>
      </c>
      <c r="O206" s="7" t="s">
        <v>13</v>
      </c>
      <c r="P206" s="6" t="s">
        <v>23</v>
      </c>
      <c r="Q206" s="7" t="s">
        <v>20</v>
      </c>
      <c r="R206" s="6" t="s">
        <v>20</v>
      </c>
      <c r="S206" s="23" t="s">
        <v>13</v>
      </c>
      <c r="T206" s="24" t="s">
        <v>288</v>
      </c>
    </row>
    <row r="207" spans="1:20" x14ac:dyDescent="0.3">
      <c r="A207" s="17">
        <v>206</v>
      </c>
      <c r="B207" s="6" t="s">
        <v>471</v>
      </c>
      <c r="C207" s="6" t="s">
        <v>360</v>
      </c>
      <c r="D207" s="7">
        <v>2221.59</v>
      </c>
      <c r="E207" s="23" t="s">
        <v>11</v>
      </c>
      <c r="F207" s="23">
        <v>792.52</v>
      </c>
      <c r="G207" s="23" t="s">
        <v>11</v>
      </c>
      <c r="H207" s="7">
        <v>29.51</v>
      </c>
      <c r="I207" s="23" t="s">
        <v>12</v>
      </c>
      <c r="J207" s="7" t="s">
        <v>20</v>
      </c>
      <c r="K207" s="23" t="s">
        <v>20</v>
      </c>
      <c r="L207" s="23">
        <v>29.51</v>
      </c>
      <c r="M207" s="23" t="s">
        <v>12</v>
      </c>
      <c r="N207" s="8" t="s">
        <v>13</v>
      </c>
      <c r="O207" s="7" t="s">
        <v>13</v>
      </c>
      <c r="P207" s="6" t="s">
        <v>23</v>
      </c>
      <c r="Q207" s="7" t="s">
        <v>20</v>
      </c>
      <c r="R207" s="6" t="s">
        <v>20</v>
      </c>
      <c r="S207" s="23" t="s">
        <v>13</v>
      </c>
      <c r="T207" s="24" t="s">
        <v>288</v>
      </c>
    </row>
    <row r="208" spans="1:20" x14ac:dyDescent="0.3">
      <c r="A208" s="17">
        <v>207</v>
      </c>
      <c r="B208" s="6" t="s">
        <v>472</v>
      </c>
      <c r="C208" s="6" t="s">
        <v>360</v>
      </c>
      <c r="D208" s="7">
        <v>2864.9100000000003</v>
      </c>
      <c r="E208" s="23" t="s">
        <v>11</v>
      </c>
      <c r="F208" s="23">
        <v>1056.69</v>
      </c>
      <c r="G208" s="23" t="s">
        <v>11</v>
      </c>
      <c r="H208" s="7">
        <v>40.239999999999995</v>
      </c>
      <c r="I208" s="23" t="s">
        <v>12</v>
      </c>
      <c r="J208" s="7" t="s">
        <v>20</v>
      </c>
      <c r="K208" s="23" t="s">
        <v>20</v>
      </c>
      <c r="L208" s="23">
        <v>40.239999999999995</v>
      </c>
      <c r="M208" s="23" t="s">
        <v>12</v>
      </c>
      <c r="N208" s="8" t="s">
        <v>13</v>
      </c>
      <c r="O208" s="7" t="s">
        <v>13</v>
      </c>
      <c r="P208" s="6" t="s">
        <v>23</v>
      </c>
      <c r="Q208" s="7" t="s">
        <v>20</v>
      </c>
      <c r="R208" s="6" t="s">
        <v>20</v>
      </c>
      <c r="S208" s="23" t="s">
        <v>13</v>
      </c>
      <c r="T208" s="24" t="s">
        <v>288</v>
      </c>
    </row>
    <row r="209" spans="1:20" x14ac:dyDescent="0.3">
      <c r="A209" s="17">
        <v>208</v>
      </c>
      <c r="B209" s="6" t="s">
        <v>473</v>
      </c>
      <c r="C209" s="6" t="s">
        <v>360</v>
      </c>
      <c r="D209" s="7">
        <v>3619.5</v>
      </c>
      <c r="E209" s="23" t="s">
        <v>11</v>
      </c>
      <c r="F209" s="23">
        <v>1320.87</v>
      </c>
      <c r="G209" s="23" t="s">
        <v>11</v>
      </c>
      <c r="H209" s="7">
        <v>49.62</v>
      </c>
      <c r="I209" s="23" t="s">
        <v>12</v>
      </c>
      <c r="J209" s="7" t="s">
        <v>20</v>
      </c>
      <c r="K209" s="23" t="s">
        <v>20</v>
      </c>
      <c r="L209" s="23">
        <v>49.62</v>
      </c>
      <c r="M209" s="23" t="s">
        <v>12</v>
      </c>
      <c r="N209" s="8" t="s">
        <v>13</v>
      </c>
      <c r="O209" s="7" t="s">
        <v>13</v>
      </c>
      <c r="P209" s="6" t="s">
        <v>23</v>
      </c>
      <c r="Q209" s="7" t="s">
        <v>20</v>
      </c>
      <c r="R209" s="6" t="s">
        <v>20</v>
      </c>
      <c r="S209" s="23" t="s">
        <v>13</v>
      </c>
      <c r="T209" s="24" t="s">
        <v>288</v>
      </c>
    </row>
    <row r="210" spans="1:20" x14ac:dyDescent="0.3">
      <c r="A210" s="17">
        <v>209</v>
      </c>
      <c r="B210" s="6" t="s">
        <v>474</v>
      </c>
      <c r="C210" s="6" t="s">
        <v>360</v>
      </c>
      <c r="D210" s="7">
        <v>5383.59</v>
      </c>
      <c r="E210" s="23" t="s">
        <v>11</v>
      </c>
      <c r="F210" s="23">
        <v>1981.3</v>
      </c>
      <c r="G210" s="23" t="s">
        <v>11</v>
      </c>
      <c r="H210" s="7">
        <v>73.760000000000005</v>
      </c>
      <c r="I210" s="23" t="s">
        <v>12</v>
      </c>
      <c r="J210" s="7" t="s">
        <v>20</v>
      </c>
      <c r="K210" s="23" t="s">
        <v>20</v>
      </c>
      <c r="L210" s="23">
        <v>73.760000000000005</v>
      </c>
      <c r="M210" s="23" t="s">
        <v>12</v>
      </c>
      <c r="N210" s="8" t="s">
        <v>13</v>
      </c>
      <c r="O210" s="7" t="s">
        <v>13</v>
      </c>
      <c r="P210" s="6" t="s">
        <v>23</v>
      </c>
      <c r="Q210" s="7" t="s">
        <v>20</v>
      </c>
      <c r="R210" s="6" t="s">
        <v>20</v>
      </c>
      <c r="S210" s="23" t="s">
        <v>13</v>
      </c>
      <c r="T210" s="24" t="s">
        <v>288</v>
      </c>
    </row>
    <row r="211" spans="1:20" x14ac:dyDescent="0.3">
      <c r="A211" s="17">
        <v>210</v>
      </c>
      <c r="B211" s="6" t="s">
        <v>475</v>
      </c>
      <c r="C211" s="6" t="s">
        <v>341</v>
      </c>
      <c r="D211" s="7">
        <v>26.42</v>
      </c>
      <c r="E211" s="23" t="s">
        <v>11</v>
      </c>
      <c r="F211" s="23">
        <v>9.25</v>
      </c>
      <c r="G211" s="23" t="s">
        <v>11</v>
      </c>
      <c r="H211" s="7" t="s">
        <v>20</v>
      </c>
      <c r="I211" s="23" t="s">
        <v>20</v>
      </c>
      <c r="J211" s="7">
        <v>2.0199999999999996</v>
      </c>
      <c r="K211" s="23" t="s">
        <v>12</v>
      </c>
      <c r="L211" s="23">
        <v>2.0199999999999996</v>
      </c>
      <c r="M211" s="23" t="s">
        <v>12</v>
      </c>
      <c r="N211" s="8" t="s">
        <v>13</v>
      </c>
      <c r="O211" s="7" t="s">
        <v>20</v>
      </c>
      <c r="P211" s="6" t="s">
        <v>20</v>
      </c>
      <c r="Q211" s="7">
        <v>15</v>
      </c>
      <c r="R211" s="6" t="s">
        <v>23</v>
      </c>
      <c r="S211" s="23" t="s">
        <v>13</v>
      </c>
      <c r="T211" s="24" t="s">
        <v>20</v>
      </c>
    </row>
    <row r="212" spans="1:20" x14ac:dyDescent="0.3">
      <c r="A212" s="17">
        <v>211</v>
      </c>
      <c r="B212" s="6" t="s">
        <v>476</v>
      </c>
      <c r="C212" s="6" t="s">
        <v>341</v>
      </c>
      <c r="D212" s="7">
        <v>52.839999999999996</v>
      </c>
      <c r="E212" s="23" t="s">
        <v>11</v>
      </c>
      <c r="F212" s="23">
        <v>18.5</v>
      </c>
      <c r="G212" s="23" t="s">
        <v>11</v>
      </c>
      <c r="H212" s="7" t="s">
        <v>20</v>
      </c>
      <c r="I212" s="23" t="s">
        <v>20</v>
      </c>
      <c r="J212" s="7">
        <v>2.0199999999999996</v>
      </c>
      <c r="K212" s="23" t="s">
        <v>12</v>
      </c>
      <c r="L212" s="23">
        <v>2.0199999999999996</v>
      </c>
      <c r="M212" s="23" t="s">
        <v>12</v>
      </c>
      <c r="N212" s="8" t="s">
        <v>13</v>
      </c>
      <c r="O212" s="7" t="s">
        <v>20</v>
      </c>
      <c r="P212" s="6" t="s">
        <v>20</v>
      </c>
      <c r="Q212" s="7">
        <v>15</v>
      </c>
      <c r="R212" s="6" t="s">
        <v>23</v>
      </c>
      <c r="S212" s="23" t="s">
        <v>13</v>
      </c>
      <c r="T212" s="24" t="s">
        <v>20</v>
      </c>
    </row>
    <row r="213" spans="1:20" x14ac:dyDescent="0.3">
      <c r="A213" s="17">
        <v>212</v>
      </c>
      <c r="B213" s="6" t="s">
        <v>477</v>
      </c>
      <c r="C213" s="6" t="s">
        <v>341</v>
      </c>
      <c r="D213" s="7">
        <v>79.260000000000005</v>
      </c>
      <c r="E213" s="23" t="s">
        <v>11</v>
      </c>
      <c r="F213" s="23">
        <v>27.740000000000002</v>
      </c>
      <c r="G213" s="23" t="s">
        <v>11</v>
      </c>
      <c r="H213" s="7" t="s">
        <v>20</v>
      </c>
      <c r="I213" s="23" t="s">
        <v>20</v>
      </c>
      <c r="J213" s="7">
        <v>2.96</v>
      </c>
      <c r="K213" s="23" t="s">
        <v>12</v>
      </c>
      <c r="L213" s="23">
        <v>2.96</v>
      </c>
      <c r="M213" s="23" t="s">
        <v>12</v>
      </c>
      <c r="N213" s="8" t="s">
        <v>13</v>
      </c>
      <c r="O213" s="7" t="s">
        <v>20</v>
      </c>
      <c r="P213" s="6" t="s">
        <v>20</v>
      </c>
      <c r="Q213" s="7">
        <v>15</v>
      </c>
      <c r="R213" s="6" t="s">
        <v>23</v>
      </c>
      <c r="S213" s="23" t="s">
        <v>13</v>
      </c>
      <c r="T213" s="24" t="s">
        <v>20</v>
      </c>
    </row>
    <row r="214" spans="1:20" x14ac:dyDescent="0.3">
      <c r="A214" s="17">
        <v>213</v>
      </c>
      <c r="B214" s="6" t="s">
        <v>478</v>
      </c>
      <c r="C214" s="6" t="s">
        <v>341</v>
      </c>
      <c r="D214" s="7">
        <v>105.67</v>
      </c>
      <c r="E214" s="23" t="s">
        <v>11</v>
      </c>
      <c r="F214" s="23">
        <v>36.989999999999995</v>
      </c>
      <c r="G214" s="23" t="s">
        <v>11</v>
      </c>
      <c r="H214" s="7" t="s">
        <v>20</v>
      </c>
      <c r="I214" s="23" t="s">
        <v>20</v>
      </c>
      <c r="J214" s="7">
        <v>2.96</v>
      </c>
      <c r="K214" s="23" t="s">
        <v>12</v>
      </c>
      <c r="L214" s="23">
        <v>2.96</v>
      </c>
      <c r="M214" s="23" t="s">
        <v>12</v>
      </c>
      <c r="N214" s="8" t="s">
        <v>13</v>
      </c>
      <c r="O214" s="7" t="s">
        <v>20</v>
      </c>
      <c r="P214" s="6" t="s">
        <v>20</v>
      </c>
      <c r="Q214" s="7">
        <v>15</v>
      </c>
      <c r="R214" s="6" t="s">
        <v>23</v>
      </c>
      <c r="S214" s="23" t="s">
        <v>13</v>
      </c>
      <c r="T214" s="24" t="s">
        <v>20</v>
      </c>
    </row>
    <row r="215" spans="1:20" x14ac:dyDescent="0.3">
      <c r="A215" s="17">
        <v>214</v>
      </c>
      <c r="B215" s="6" t="s">
        <v>479</v>
      </c>
      <c r="C215" s="6" t="s">
        <v>341</v>
      </c>
      <c r="D215" s="7">
        <v>132.09</v>
      </c>
      <c r="E215" s="23" t="s">
        <v>11</v>
      </c>
      <c r="F215" s="23">
        <v>46.239999999999995</v>
      </c>
      <c r="G215" s="23" t="s">
        <v>11</v>
      </c>
      <c r="H215" s="7" t="s">
        <v>20</v>
      </c>
      <c r="I215" s="23" t="s">
        <v>20</v>
      </c>
      <c r="J215" s="7">
        <v>2.96</v>
      </c>
      <c r="K215" s="23" t="s">
        <v>12</v>
      </c>
      <c r="L215" s="23">
        <v>2.96</v>
      </c>
      <c r="M215" s="23" t="s">
        <v>12</v>
      </c>
      <c r="N215" s="8" t="s">
        <v>13</v>
      </c>
      <c r="O215" s="7" t="s">
        <v>20</v>
      </c>
      <c r="P215" s="6" t="s">
        <v>20</v>
      </c>
      <c r="Q215" s="7">
        <v>15</v>
      </c>
      <c r="R215" s="6" t="s">
        <v>23</v>
      </c>
      <c r="S215" s="23" t="s">
        <v>13</v>
      </c>
      <c r="T215" s="24" t="s">
        <v>20</v>
      </c>
    </row>
    <row r="216" spans="1:20" x14ac:dyDescent="0.3">
      <c r="A216" s="17">
        <v>215</v>
      </c>
      <c r="B216" s="6" t="s">
        <v>480</v>
      </c>
      <c r="C216" s="6" t="s">
        <v>341</v>
      </c>
      <c r="D216" s="7">
        <v>396.26</v>
      </c>
      <c r="E216" s="23" t="s">
        <v>11</v>
      </c>
      <c r="F216" s="23">
        <v>138.69999999999999</v>
      </c>
      <c r="G216" s="23" t="s">
        <v>11</v>
      </c>
      <c r="H216" s="7" t="s">
        <v>20</v>
      </c>
      <c r="I216" s="23" t="s">
        <v>20</v>
      </c>
      <c r="J216" s="7">
        <v>5.37</v>
      </c>
      <c r="K216" s="23" t="s">
        <v>12</v>
      </c>
      <c r="L216" s="23">
        <v>5.37</v>
      </c>
      <c r="M216" s="23" t="s">
        <v>12</v>
      </c>
      <c r="N216" s="8" t="s">
        <v>13</v>
      </c>
      <c r="O216" s="7" t="s">
        <v>20</v>
      </c>
      <c r="P216" s="6" t="s">
        <v>20</v>
      </c>
      <c r="Q216" s="7">
        <v>12</v>
      </c>
      <c r="R216" s="6" t="s">
        <v>23</v>
      </c>
      <c r="S216" s="23" t="s">
        <v>13</v>
      </c>
      <c r="T216" s="24" t="s">
        <v>20</v>
      </c>
    </row>
    <row r="217" spans="1:20" x14ac:dyDescent="0.3">
      <c r="A217" s="17">
        <v>216</v>
      </c>
      <c r="B217" s="6" t="s">
        <v>481</v>
      </c>
      <c r="C217" s="6" t="s">
        <v>341</v>
      </c>
      <c r="D217" s="7">
        <v>528.35</v>
      </c>
      <c r="E217" s="23" t="s">
        <v>11</v>
      </c>
      <c r="F217" s="23">
        <v>184.92999999999998</v>
      </c>
      <c r="G217" s="23" t="s">
        <v>11</v>
      </c>
      <c r="H217" s="7" t="s">
        <v>20</v>
      </c>
      <c r="I217" s="23" t="s">
        <v>20</v>
      </c>
      <c r="J217" s="7">
        <v>7.38</v>
      </c>
      <c r="K217" s="23" t="s">
        <v>12</v>
      </c>
      <c r="L217" s="23">
        <v>7.38</v>
      </c>
      <c r="M217" s="23" t="s">
        <v>12</v>
      </c>
      <c r="N217" s="8" t="s">
        <v>13</v>
      </c>
      <c r="O217" s="7" t="s">
        <v>20</v>
      </c>
      <c r="P217" s="6" t="s">
        <v>20</v>
      </c>
      <c r="Q217" s="7">
        <v>12</v>
      </c>
      <c r="R217" s="6" t="s">
        <v>23</v>
      </c>
      <c r="S217" s="23" t="s">
        <v>13</v>
      </c>
      <c r="T217" s="24" t="s">
        <v>20</v>
      </c>
    </row>
    <row r="218" spans="1:20" x14ac:dyDescent="0.3">
      <c r="A218" s="17">
        <v>217</v>
      </c>
      <c r="B218" s="6" t="s">
        <v>482</v>
      </c>
      <c r="C218" s="6" t="s">
        <v>341</v>
      </c>
      <c r="D218" s="7">
        <v>660.43999999999994</v>
      </c>
      <c r="E218" s="23" t="s">
        <v>11</v>
      </c>
      <c r="F218" s="23">
        <v>231.16</v>
      </c>
      <c r="G218" s="23" t="s">
        <v>11</v>
      </c>
      <c r="H218" s="7" t="s">
        <v>20</v>
      </c>
      <c r="I218" s="23" t="s">
        <v>20</v>
      </c>
      <c r="J218" s="7">
        <v>10.06</v>
      </c>
      <c r="K218" s="23" t="s">
        <v>12</v>
      </c>
      <c r="L218" s="23">
        <v>10.06</v>
      </c>
      <c r="M218" s="23" t="s">
        <v>12</v>
      </c>
      <c r="N218" s="8" t="s">
        <v>13</v>
      </c>
      <c r="O218" s="7" t="s">
        <v>20</v>
      </c>
      <c r="P218" s="6" t="s">
        <v>20</v>
      </c>
      <c r="Q218" s="7">
        <v>12</v>
      </c>
      <c r="R218" s="6" t="s">
        <v>23</v>
      </c>
      <c r="S218" s="23" t="s">
        <v>13</v>
      </c>
      <c r="T218" s="24" t="s">
        <v>20</v>
      </c>
    </row>
    <row r="219" spans="1:20" x14ac:dyDescent="0.3">
      <c r="A219" s="17">
        <v>218</v>
      </c>
      <c r="B219" s="6" t="s">
        <v>483</v>
      </c>
      <c r="C219" s="6" t="s">
        <v>341</v>
      </c>
      <c r="D219" s="7">
        <v>792.52</v>
      </c>
      <c r="E219" s="23" t="s">
        <v>11</v>
      </c>
      <c r="F219" s="23">
        <v>277.39</v>
      </c>
      <c r="G219" s="23" t="s">
        <v>11</v>
      </c>
      <c r="H219" s="7" t="s">
        <v>20</v>
      </c>
      <c r="I219" s="23" t="s">
        <v>20</v>
      </c>
      <c r="J219" s="7">
        <v>14.76</v>
      </c>
      <c r="K219" s="23" t="s">
        <v>12</v>
      </c>
      <c r="L219" s="23">
        <v>14.76</v>
      </c>
      <c r="M219" s="23" t="s">
        <v>12</v>
      </c>
      <c r="N219" s="8" t="s">
        <v>13</v>
      </c>
      <c r="O219" s="7" t="s">
        <v>20</v>
      </c>
      <c r="P219" s="6" t="s">
        <v>20</v>
      </c>
      <c r="Q219" s="7">
        <v>10</v>
      </c>
      <c r="R219" s="6" t="s">
        <v>23</v>
      </c>
      <c r="S219" s="23" t="s">
        <v>13</v>
      </c>
      <c r="T219" s="24" t="s">
        <v>20</v>
      </c>
    </row>
    <row r="220" spans="1:20" x14ac:dyDescent="0.3">
      <c r="A220" s="17">
        <v>219</v>
      </c>
      <c r="B220" s="6" t="s">
        <v>484</v>
      </c>
      <c r="C220" s="6" t="s">
        <v>341</v>
      </c>
      <c r="D220" s="7">
        <v>1056.69</v>
      </c>
      <c r="E220" s="23" t="s">
        <v>11</v>
      </c>
      <c r="F220" s="23">
        <v>369.84999999999997</v>
      </c>
      <c r="G220" s="23" t="s">
        <v>11</v>
      </c>
      <c r="H220" s="7" t="s">
        <v>20</v>
      </c>
      <c r="I220" s="23" t="s">
        <v>20</v>
      </c>
      <c r="J220" s="7">
        <v>20.12</v>
      </c>
      <c r="K220" s="23" t="s">
        <v>12</v>
      </c>
      <c r="L220" s="23">
        <v>20.12</v>
      </c>
      <c r="M220" s="23" t="s">
        <v>12</v>
      </c>
      <c r="N220" s="8" t="s">
        <v>13</v>
      </c>
      <c r="O220" s="7" t="s">
        <v>20</v>
      </c>
      <c r="P220" s="6" t="s">
        <v>20</v>
      </c>
      <c r="Q220" s="7">
        <v>10</v>
      </c>
      <c r="R220" s="6" t="s">
        <v>23</v>
      </c>
      <c r="S220" s="23" t="s">
        <v>13</v>
      </c>
      <c r="T220" s="24" t="s">
        <v>20</v>
      </c>
    </row>
    <row r="221" spans="1:20" x14ac:dyDescent="0.3">
      <c r="A221" s="17">
        <v>220</v>
      </c>
      <c r="B221" s="6" t="s">
        <v>485</v>
      </c>
      <c r="C221" s="6" t="s">
        <v>243</v>
      </c>
      <c r="D221" s="7">
        <v>26.42</v>
      </c>
      <c r="E221" s="23" t="s">
        <v>11</v>
      </c>
      <c r="F221" s="23">
        <v>9.25</v>
      </c>
      <c r="G221" s="23" t="s">
        <v>11</v>
      </c>
      <c r="H221" s="7" t="s">
        <v>20</v>
      </c>
      <c r="I221" s="23" t="s">
        <v>20</v>
      </c>
      <c r="J221" s="7">
        <v>2.0199999999999996</v>
      </c>
      <c r="K221" s="23" t="s">
        <v>12</v>
      </c>
      <c r="L221" s="23">
        <v>2.0199999999999996</v>
      </c>
      <c r="M221" s="23" t="s">
        <v>12</v>
      </c>
      <c r="N221" s="8" t="s">
        <v>13</v>
      </c>
      <c r="O221" s="7" t="s">
        <v>20</v>
      </c>
      <c r="P221" s="6" t="s">
        <v>20</v>
      </c>
      <c r="Q221" s="7">
        <v>15</v>
      </c>
      <c r="R221" s="6" t="s">
        <v>23</v>
      </c>
      <c r="S221" s="23" t="s">
        <v>13</v>
      </c>
      <c r="T221" s="24" t="s">
        <v>20</v>
      </c>
    </row>
    <row r="222" spans="1:20" x14ac:dyDescent="0.3">
      <c r="A222" s="17">
        <v>221</v>
      </c>
      <c r="B222" s="6" t="s">
        <v>486</v>
      </c>
      <c r="C222" s="6" t="s">
        <v>243</v>
      </c>
      <c r="D222" s="7">
        <v>52.839999999999996</v>
      </c>
      <c r="E222" s="23" t="s">
        <v>11</v>
      </c>
      <c r="F222" s="23">
        <v>18.5</v>
      </c>
      <c r="G222" s="23" t="s">
        <v>11</v>
      </c>
      <c r="H222" s="7" t="s">
        <v>20</v>
      </c>
      <c r="I222" s="23" t="s">
        <v>20</v>
      </c>
      <c r="J222" s="7">
        <v>2.0199999999999996</v>
      </c>
      <c r="K222" s="23" t="s">
        <v>12</v>
      </c>
      <c r="L222" s="23">
        <v>2.0199999999999996</v>
      </c>
      <c r="M222" s="23" t="s">
        <v>12</v>
      </c>
      <c r="N222" s="8" t="s">
        <v>13</v>
      </c>
      <c r="O222" s="7" t="s">
        <v>20</v>
      </c>
      <c r="P222" s="6" t="s">
        <v>20</v>
      </c>
      <c r="Q222" s="7">
        <v>15</v>
      </c>
      <c r="R222" s="6" t="s">
        <v>23</v>
      </c>
      <c r="S222" s="23" t="s">
        <v>13</v>
      </c>
      <c r="T222" s="24" t="s">
        <v>20</v>
      </c>
    </row>
    <row r="223" spans="1:20" x14ac:dyDescent="0.3">
      <c r="A223" s="17">
        <v>222</v>
      </c>
      <c r="B223" s="6" t="s">
        <v>487</v>
      </c>
      <c r="C223" s="6" t="s">
        <v>243</v>
      </c>
      <c r="D223" s="7">
        <v>79.260000000000005</v>
      </c>
      <c r="E223" s="23" t="s">
        <v>11</v>
      </c>
      <c r="F223" s="23">
        <v>27.740000000000002</v>
      </c>
      <c r="G223" s="23" t="s">
        <v>11</v>
      </c>
      <c r="H223" s="7" t="s">
        <v>20</v>
      </c>
      <c r="I223" s="23" t="s">
        <v>20</v>
      </c>
      <c r="J223" s="7">
        <v>2.96</v>
      </c>
      <c r="K223" s="23" t="s">
        <v>12</v>
      </c>
      <c r="L223" s="23">
        <v>2.96</v>
      </c>
      <c r="M223" s="23" t="s">
        <v>12</v>
      </c>
      <c r="N223" s="8" t="s">
        <v>13</v>
      </c>
      <c r="O223" s="7" t="s">
        <v>20</v>
      </c>
      <c r="P223" s="6" t="s">
        <v>20</v>
      </c>
      <c r="Q223" s="7">
        <v>15</v>
      </c>
      <c r="R223" s="6" t="s">
        <v>23</v>
      </c>
      <c r="S223" s="23" t="s">
        <v>13</v>
      </c>
      <c r="T223" s="24" t="s">
        <v>20</v>
      </c>
    </row>
    <row r="224" spans="1:20" x14ac:dyDescent="0.3">
      <c r="A224" s="17">
        <v>223</v>
      </c>
      <c r="B224" s="6" t="s">
        <v>488</v>
      </c>
      <c r="C224" s="6" t="s">
        <v>243</v>
      </c>
      <c r="D224" s="7">
        <v>105.67</v>
      </c>
      <c r="E224" s="23" t="s">
        <v>11</v>
      </c>
      <c r="F224" s="23">
        <v>36.989999999999995</v>
      </c>
      <c r="G224" s="23" t="s">
        <v>11</v>
      </c>
      <c r="H224" s="7" t="s">
        <v>20</v>
      </c>
      <c r="I224" s="23" t="s">
        <v>20</v>
      </c>
      <c r="J224" s="7">
        <v>2.96</v>
      </c>
      <c r="K224" s="23" t="s">
        <v>12</v>
      </c>
      <c r="L224" s="23">
        <v>2.96</v>
      </c>
      <c r="M224" s="23" t="s">
        <v>12</v>
      </c>
      <c r="N224" s="8" t="s">
        <v>13</v>
      </c>
      <c r="O224" s="7" t="s">
        <v>20</v>
      </c>
      <c r="P224" s="6" t="s">
        <v>20</v>
      </c>
      <c r="Q224" s="7">
        <v>15</v>
      </c>
      <c r="R224" s="6" t="s">
        <v>23</v>
      </c>
      <c r="S224" s="23" t="s">
        <v>13</v>
      </c>
      <c r="T224" s="24" t="s">
        <v>20</v>
      </c>
    </row>
    <row r="225" spans="1:20" x14ac:dyDescent="0.3">
      <c r="A225" s="17">
        <v>224</v>
      </c>
      <c r="B225" s="6" t="s">
        <v>489</v>
      </c>
      <c r="C225" s="6" t="s">
        <v>243</v>
      </c>
      <c r="D225" s="7">
        <v>132.09</v>
      </c>
      <c r="E225" s="23" t="s">
        <v>11</v>
      </c>
      <c r="F225" s="23">
        <v>46.239999999999995</v>
      </c>
      <c r="G225" s="23" t="s">
        <v>11</v>
      </c>
      <c r="H225" s="7" t="s">
        <v>20</v>
      </c>
      <c r="I225" s="23" t="s">
        <v>20</v>
      </c>
      <c r="J225" s="7">
        <v>2.96</v>
      </c>
      <c r="K225" s="23" t="s">
        <v>12</v>
      </c>
      <c r="L225" s="23">
        <v>2.96</v>
      </c>
      <c r="M225" s="23" t="s">
        <v>12</v>
      </c>
      <c r="N225" s="8" t="s">
        <v>13</v>
      </c>
      <c r="O225" s="7" t="s">
        <v>20</v>
      </c>
      <c r="P225" s="6" t="s">
        <v>20</v>
      </c>
      <c r="Q225" s="7">
        <v>15</v>
      </c>
      <c r="R225" s="6" t="s">
        <v>23</v>
      </c>
      <c r="S225" s="23" t="s">
        <v>13</v>
      </c>
      <c r="T225" s="24" t="s">
        <v>20</v>
      </c>
    </row>
    <row r="226" spans="1:20" x14ac:dyDescent="0.3">
      <c r="A226" s="17">
        <v>225</v>
      </c>
      <c r="B226" s="6" t="s">
        <v>490</v>
      </c>
      <c r="C226" s="6" t="s">
        <v>243</v>
      </c>
      <c r="D226" s="7">
        <v>264.18</v>
      </c>
      <c r="E226" s="23" t="s">
        <v>11</v>
      </c>
      <c r="F226" s="23">
        <v>92.47</v>
      </c>
      <c r="G226" s="23" t="s">
        <v>11</v>
      </c>
      <c r="H226" s="7" t="s">
        <v>20</v>
      </c>
      <c r="I226" s="23" t="s">
        <v>20</v>
      </c>
      <c r="J226" s="7">
        <v>4.0299999999999994</v>
      </c>
      <c r="K226" s="23" t="s">
        <v>12</v>
      </c>
      <c r="L226" s="23">
        <v>4.0299999999999994</v>
      </c>
      <c r="M226" s="23" t="s">
        <v>12</v>
      </c>
      <c r="N226" s="8" t="s">
        <v>13</v>
      </c>
      <c r="O226" s="7" t="s">
        <v>20</v>
      </c>
      <c r="P226" s="6" t="s">
        <v>20</v>
      </c>
      <c r="Q226" s="7">
        <v>12</v>
      </c>
      <c r="R226" s="6" t="s">
        <v>23</v>
      </c>
      <c r="S226" s="23" t="s">
        <v>13</v>
      </c>
      <c r="T226" s="24" t="s">
        <v>20</v>
      </c>
    </row>
    <row r="227" spans="1:20" x14ac:dyDescent="0.3">
      <c r="A227" s="17">
        <v>226</v>
      </c>
      <c r="B227" s="6" t="s">
        <v>491</v>
      </c>
      <c r="C227" s="6" t="s">
        <v>243</v>
      </c>
      <c r="D227" s="7">
        <v>396.26</v>
      </c>
      <c r="E227" s="23" t="s">
        <v>11</v>
      </c>
      <c r="F227" s="23">
        <v>138.69999999999999</v>
      </c>
      <c r="G227" s="23" t="s">
        <v>11</v>
      </c>
      <c r="H227" s="7" t="s">
        <v>20</v>
      </c>
      <c r="I227" s="23" t="s">
        <v>20</v>
      </c>
      <c r="J227" s="7">
        <v>5.37</v>
      </c>
      <c r="K227" s="23" t="s">
        <v>12</v>
      </c>
      <c r="L227" s="23">
        <v>5.37</v>
      </c>
      <c r="M227" s="23" t="s">
        <v>12</v>
      </c>
      <c r="N227" s="8" t="s">
        <v>13</v>
      </c>
      <c r="O227" s="7" t="s">
        <v>20</v>
      </c>
      <c r="P227" s="6" t="s">
        <v>20</v>
      </c>
      <c r="Q227" s="7">
        <v>12</v>
      </c>
      <c r="R227" s="6" t="s">
        <v>23</v>
      </c>
      <c r="S227" s="23" t="s">
        <v>13</v>
      </c>
      <c r="T227" s="24" t="s">
        <v>20</v>
      </c>
    </row>
    <row r="228" spans="1:20" x14ac:dyDescent="0.3">
      <c r="A228" s="17">
        <v>227</v>
      </c>
      <c r="B228" s="6" t="s">
        <v>492</v>
      </c>
      <c r="C228" s="6" t="s">
        <v>243</v>
      </c>
      <c r="D228" s="7">
        <v>528.35</v>
      </c>
      <c r="E228" s="23" t="s">
        <v>11</v>
      </c>
      <c r="F228" s="23">
        <v>184.92999999999998</v>
      </c>
      <c r="G228" s="23" t="s">
        <v>11</v>
      </c>
      <c r="H228" s="7" t="s">
        <v>20</v>
      </c>
      <c r="I228" s="23" t="s">
        <v>20</v>
      </c>
      <c r="J228" s="7">
        <v>7.38</v>
      </c>
      <c r="K228" s="23" t="s">
        <v>12</v>
      </c>
      <c r="L228" s="23">
        <v>7.38</v>
      </c>
      <c r="M228" s="23" t="s">
        <v>12</v>
      </c>
      <c r="N228" s="8" t="s">
        <v>13</v>
      </c>
      <c r="O228" s="7" t="s">
        <v>20</v>
      </c>
      <c r="P228" s="6" t="s">
        <v>20</v>
      </c>
      <c r="Q228" s="7">
        <v>12</v>
      </c>
      <c r="R228" s="6" t="s">
        <v>23</v>
      </c>
      <c r="S228" s="23" t="s">
        <v>13</v>
      </c>
      <c r="T228" s="24" t="s">
        <v>20</v>
      </c>
    </row>
    <row r="229" spans="1:20" x14ac:dyDescent="0.3">
      <c r="A229" s="17">
        <v>228</v>
      </c>
      <c r="B229" s="6" t="s">
        <v>493</v>
      </c>
      <c r="C229" s="6" t="s">
        <v>243</v>
      </c>
      <c r="D229" s="7">
        <v>660.43999999999994</v>
      </c>
      <c r="E229" s="23" t="s">
        <v>11</v>
      </c>
      <c r="F229" s="23">
        <v>231.16</v>
      </c>
      <c r="G229" s="23" t="s">
        <v>11</v>
      </c>
      <c r="H229" s="7" t="s">
        <v>20</v>
      </c>
      <c r="I229" s="23" t="s">
        <v>20</v>
      </c>
      <c r="J229" s="7">
        <v>10.06</v>
      </c>
      <c r="K229" s="23" t="s">
        <v>12</v>
      </c>
      <c r="L229" s="23">
        <v>10.06</v>
      </c>
      <c r="M229" s="23" t="s">
        <v>12</v>
      </c>
      <c r="N229" s="8" t="s">
        <v>13</v>
      </c>
      <c r="O229" s="7" t="s">
        <v>20</v>
      </c>
      <c r="P229" s="6" t="s">
        <v>20</v>
      </c>
      <c r="Q229" s="7">
        <v>12</v>
      </c>
      <c r="R229" s="6" t="s">
        <v>23</v>
      </c>
      <c r="S229" s="23" t="s">
        <v>13</v>
      </c>
      <c r="T229" s="24" t="s">
        <v>20</v>
      </c>
    </row>
    <row r="230" spans="1:20" x14ac:dyDescent="0.3">
      <c r="A230" s="17">
        <v>229</v>
      </c>
      <c r="B230" s="6" t="s">
        <v>494</v>
      </c>
      <c r="C230" s="6" t="s">
        <v>243</v>
      </c>
      <c r="D230" s="7">
        <v>792.52</v>
      </c>
      <c r="E230" s="23" t="s">
        <v>11</v>
      </c>
      <c r="F230" s="23">
        <v>277.39</v>
      </c>
      <c r="G230" s="23" t="s">
        <v>11</v>
      </c>
      <c r="H230" s="7" t="s">
        <v>20</v>
      </c>
      <c r="I230" s="23" t="s">
        <v>20</v>
      </c>
      <c r="J230" s="7">
        <v>14.76</v>
      </c>
      <c r="K230" s="23" t="s">
        <v>12</v>
      </c>
      <c r="L230" s="23">
        <v>14.76</v>
      </c>
      <c r="M230" s="23" t="s">
        <v>12</v>
      </c>
      <c r="N230" s="8" t="s">
        <v>13</v>
      </c>
      <c r="O230" s="7" t="s">
        <v>20</v>
      </c>
      <c r="P230" s="6" t="s">
        <v>20</v>
      </c>
      <c r="Q230" s="7">
        <v>10</v>
      </c>
      <c r="R230" s="6" t="s">
        <v>23</v>
      </c>
      <c r="S230" s="23" t="s">
        <v>13</v>
      </c>
      <c r="T230" s="24" t="s">
        <v>20</v>
      </c>
    </row>
    <row r="231" spans="1:20" x14ac:dyDescent="0.3">
      <c r="A231" s="17">
        <v>230</v>
      </c>
      <c r="B231" s="6" t="s">
        <v>495</v>
      </c>
      <c r="C231" s="6" t="s">
        <v>243</v>
      </c>
      <c r="D231" s="7">
        <v>1056.69</v>
      </c>
      <c r="E231" s="23" t="s">
        <v>11</v>
      </c>
      <c r="F231" s="23">
        <v>369.84999999999997</v>
      </c>
      <c r="G231" s="23" t="s">
        <v>11</v>
      </c>
      <c r="H231" s="7" t="s">
        <v>20</v>
      </c>
      <c r="I231" s="23" t="s">
        <v>20</v>
      </c>
      <c r="J231" s="7">
        <v>20.12</v>
      </c>
      <c r="K231" s="23" t="s">
        <v>12</v>
      </c>
      <c r="L231" s="23">
        <v>20.12</v>
      </c>
      <c r="M231" s="23" t="s">
        <v>12</v>
      </c>
      <c r="N231" s="8" t="s">
        <v>13</v>
      </c>
      <c r="O231" s="7" t="s">
        <v>20</v>
      </c>
      <c r="P231" s="6" t="s">
        <v>20</v>
      </c>
      <c r="Q231" s="7">
        <v>10</v>
      </c>
      <c r="R231" s="6" t="s">
        <v>23</v>
      </c>
      <c r="S231" s="23" t="s">
        <v>13</v>
      </c>
      <c r="T231" s="24" t="s">
        <v>20</v>
      </c>
    </row>
    <row r="232" spans="1:20" x14ac:dyDescent="0.3">
      <c r="A232" s="17">
        <v>231</v>
      </c>
      <c r="B232" s="6" t="s">
        <v>496</v>
      </c>
      <c r="C232" s="6" t="s">
        <v>243</v>
      </c>
      <c r="D232" s="7">
        <v>1585.04</v>
      </c>
      <c r="E232" s="23" t="s">
        <v>11</v>
      </c>
      <c r="F232" s="23">
        <v>554.77</v>
      </c>
      <c r="G232" s="23" t="s">
        <v>11</v>
      </c>
      <c r="H232" s="7" t="s">
        <v>20</v>
      </c>
      <c r="I232" s="23" t="s">
        <v>20</v>
      </c>
      <c r="J232" s="7">
        <v>29.51</v>
      </c>
      <c r="K232" s="23" t="s">
        <v>12</v>
      </c>
      <c r="L232" s="23">
        <v>29.51</v>
      </c>
      <c r="M232" s="23" t="s">
        <v>12</v>
      </c>
      <c r="N232" s="8" t="s">
        <v>13</v>
      </c>
      <c r="O232" s="7" t="s">
        <v>20</v>
      </c>
      <c r="P232" s="6" t="s">
        <v>20</v>
      </c>
      <c r="Q232" s="7">
        <v>10</v>
      </c>
      <c r="R232" s="6" t="s">
        <v>23</v>
      </c>
      <c r="S232" s="23" t="s">
        <v>13</v>
      </c>
      <c r="T232" s="24" t="s">
        <v>20</v>
      </c>
    </row>
    <row r="233" spans="1:20" x14ac:dyDescent="0.3">
      <c r="A233" s="17">
        <v>232</v>
      </c>
      <c r="B233" s="6" t="s">
        <v>497</v>
      </c>
      <c r="C233" s="6" t="s">
        <v>243</v>
      </c>
      <c r="D233" s="7">
        <v>2113.38</v>
      </c>
      <c r="E233" s="23" t="s">
        <v>11</v>
      </c>
      <c r="F233" s="23">
        <v>739.68999999999994</v>
      </c>
      <c r="G233" s="23" t="s">
        <v>11</v>
      </c>
      <c r="H233" s="7" t="s">
        <v>20</v>
      </c>
      <c r="I233" s="23" t="s">
        <v>20</v>
      </c>
      <c r="J233" s="7">
        <v>40.239999999999995</v>
      </c>
      <c r="K233" s="23" t="s">
        <v>12</v>
      </c>
      <c r="L233" s="23">
        <v>40.239999999999995</v>
      </c>
      <c r="M233" s="23" t="s">
        <v>12</v>
      </c>
      <c r="N233" s="8" t="s">
        <v>13</v>
      </c>
      <c r="O233" s="7" t="s">
        <v>20</v>
      </c>
      <c r="P233" s="6" t="s">
        <v>20</v>
      </c>
      <c r="Q233" s="7">
        <v>10</v>
      </c>
      <c r="R233" s="6" t="s">
        <v>23</v>
      </c>
      <c r="S233" s="23" t="s">
        <v>13</v>
      </c>
      <c r="T233" s="24" t="s">
        <v>20</v>
      </c>
    </row>
    <row r="234" spans="1:20" x14ac:dyDescent="0.3">
      <c r="A234" s="17">
        <v>233</v>
      </c>
      <c r="B234" s="6" t="s">
        <v>498</v>
      </c>
      <c r="C234" s="6" t="s">
        <v>249</v>
      </c>
      <c r="D234" s="7">
        <v>0.27</v>
      </c>
      <c r="E234" s="23" t="s">
        <v>11</v>
      </c>
      <c r="F234" s="23">
        <v>0.22</v>
      </c>
      <c r="G234" s="23" t="s">
        <v>11</v>
      </c>
      <c r="H234" s="7" t="s">
        <v>20</v>
      </c>
      <c r="I234" s="23" t="s">
        <v>20</v>
      </c>
      <c r="J234" s="7">
        <v>0.17</v>
      </c>
      <c r="K234" s="23" t="s">
        <v>12</v>
      </c>
      <c r="L234" s="23">
        <v>0.17</v>
      </c>
      <c r="M234" s="23" t="s">
        <v>12</v>
      </c>
      <c r="N234" s="8" t="s">
        <v>13</v>
      </c>
      <c r="O234" s="7" t="s">
        <v>20</v>
      </c>
      <c r="P234" s="6" t="s">
        <v>20</v>
      </c>
      <c r="Q234" s="7">
        <v>30</v>
      </c>
      <c r="R234" s="6" t="s">
        <v>23</v>
      </c>
      <c r="S234" s="23" t="s">
        <v>13</v>
      </c>
      <c r="T234" s="24" t="s">
        <v>20</v>
      </c>
    </row>
    <row r="235" spans="1:20" x14ac:dyDescent="0.3">
      <c r="A235" s="17">
        <v>234</v>
      </c>
      <c r="B235" s="6" t="s">
        <v>499</v>
      </c>
      <c r="C235" s="6" t="s">
        <v>249</v>
      </c>
      <c r="D235" s="7">
        <v>13.209999999999999</v>
      </c>
      <c r="E235" s="23" t="s">
        <v>11</v>
      </c>
      <c r="F235" s="23">
        <v>10.57</v>
      </c>
      <c r="G235" s="23" t="s">
        <v>11</v>
      </c>
      <c r="H235" s="7" t="s">
        <v>20</v>
      </c>
      <c r="I235" s="23" t="s">
        <v>20</v>
      </c>
      <c r="J235" s="7">
        <v>1.48</v>
      </c>
      <c r="K235" s="23" t="s">
        <v>12</v>
      </c>
      <c r="L235" s="23">
        <v>1.48</v>
      </c>
      <c r="M235" s="23" t="s">
        <v>12</v>
      </c>
      <c r="N235" s="8" t="s">
        <v>13</v>
      </c>
      <c r="O235" s="7" t="s">
        <v>20</v>
      </c>
      <c r="P235" s="6" t="s">
        <v>20</v>
      </c>
      <c r="Q235" s="7">
        <v>8</v>
      </c>
      <c r="R235" s="6" t="s">
        <v>23</v>
      </c>
      <c r="S235" s="23" t="s">
        <v>13</v>
      </c>
      <c r="T235" s="24" t="s">
        <v>20</v>
      </c>
    </row>
    <row r="236" spans="1:20" x14ac:dyDescent="0.3">
      <c r="A236" s="17">
        <v>235</v>
      </c>
      <c r="B236" s="6" t="s">
        <v>500</v>
      </c>
      <c r="C236" s="6" t="s">
        <v>249</v>
      </c>
      <c r="D236" s="7">
        <v>26.42</v>
      </c>
      <c r="E236" s="23" t="s">
        <v>11</v>
      </c>
      <c r="F236" s="23">
        <v>21.14</v>
      </c>
      <c r="G236" s="23" t="s">
        <v>11</v>
      </c>
      <c r="H236" s="7" t="s">
        <v>20</v>
      </c>
      <c r="I236" s="23" t="s">
        <v>20</v>
      </c>
      <c r="J236" s="7">
        <v>2.0199999999999996</v>
      </c>
      <c r="K236" s="23" t="s">
        <v>12</v>
      </c>
      <c r="L236" s="23">
        <v>2.0199999999999996</v>
      </c>
      <c r="M236" s="23" t="s">
        <v>12</v>
      </c>
      <c r="N236" s="8" t="s">
        <v>13</v>
      </c>
      <c r="O236" s="7" t="s">
        <v>20</v>
      </c>
      <c r="P236" s="6" t="s">
        <v>20</v>
      </c>
      <c r="Q236" s="7">
        <v>8</v>
      </c>
      <c r="R236" s="6" t="s">
        <v>23</v>
      </c>
      <c r="S236" s="23" t="s">
        <v>13</v>
      </c>
      <c r="T236" s="24" t="s">
        <v>20</v>
      </c>
    </row>
    <row r="237" spans="1:20" x14ac:dyDescent="0.3">
      <c r="A237" s="17">
        <v>236</v>
      </c>
      <c r="B237" s="6" t="s">
        <v>501</v>
      </c>
      <c r="C237" s="6" t="s">
        <v>249</v>
      </c>
      <c r="D237" s="7">
        <v>52.839999999999996</v>
      </c>
      <c r="E237" s="23" t="s">
        <v>11</v>
      </c>
      <c r="F237" s="23">
        <v>42.269999999999996</v>
      </c>
      <c r="G237" s="23" t="s">
        <v>11</v>
      </c>
      <c r="H237" s="7" t="s">
        <v>20</v>
      </c>
      <c r="I237" s="23" t="s">
        <v>20</v>
      </c>
      <c r="J237" s="7">
        <v>2.96</v>
      </c>
      <c r="K237" s="23" t="s">
        <v>12</v>
      </c>
      <c r="L237" s="23">
        <v>2.96</v>
      </c>
      <c r="M237" s="23" t="s">
        <v>12</v>
      </c>
      <c r="N237" s="8" t="s">
        <v>13</v>
      </c>
      <c r="O237" s="7" t="s">
        <v>20</v>
      </c>
      <c r="P237" s="6" t="s">
        <v>20</v>
      </c>
      <c r="Q237" s="7">
        <v>8</v>
      </c>
      <c r="R237" s="6" t="s">
        <v>23</v>
      </c>
      <c r="S237" s="23" t="s">
        <v>13</v>
      </c>
      <c r="T237" s="24" t="s">
        <v>20</v>
      </c>
    </row>
    <row r="238" spans="1:20" x14ac:dyDescent="0.3">
      <c r="A238" s="17">
        <v>237</v>
      </c>
      <c r="B238" s="6" t="s">
        <v>502</v>
      </c>
      <c r="C238" s="6" t="s">
        <v>249</v>
      </c>
      <c r="D238" s="7">
        <v>105.67</v>
      </c>
      <c r="E238" s="23" t="s">
        <v>11</v>
      </c>
      <c r="F238" s="23">
        <v>84.54</v>
      </c>
      <c r="G238" s="23" t="s">
        <v>11</v>
      </c>
      <c r="H238" s="7" t="s">
        <v>20</v>
      </c>
      <c r="I238" s="23" t="s">
        <v>20</v>
      </c>
      <c r="J238" s="7">
        <v>5.37</v>
      </c>
      <c r="K238" s="23" t="s">
        <v>12</v>
      </c>
      <c r="L238" s="23">
        <v>5.37</v>
      </c>
      <c r="M238" s="23" t="s">
        <v>12</v>
      </c>
      <c r="N238" s="8" t="s">
        <v>13</v>
      </c>
      <c r="O238" s="7" t="s">
        <v>20</v>
      </c>
      <c r="P238" s="6" t="s">
        <v>20</v>
      </c>
      <c r="Q238" s="7">
        <v>8</v>
      </c>
      <c r="R238" s="6" t="s">
        <v>23</v>
      </c>
      <c r="S238" s="23" t="s">
        <v>13</v>
      </c>
      <c r="T238" s="24" t="s">
        <v>20</v>
      </c>
    </row>
    <row r="239" spans="1:20" x14ac:dyDescent="0.3">
      <c r="A239" s="17">
        <v>238</v>
      </c>
      <c r="B239" s="6" t="s">
        <v>503</v>
      </c>
      <c r="C239" s="6" t="s">
        <v>249</v>
      </c>
      <c r="D239" s="7">
        <v>158.51</v>
      </c>
      <c r="E239" s="23" t="s">
        <v>11</v>
      </c>
      <c r="F239" s="23">
        <v>126.81</v>
      </c>
      <c r="G239" s="23" t="s">
        <v>11</v>
      </c>
      <c r="H239" s="7" t="s">
        <v>20</v>
      </c>
      <c r="I239" s="23" t="s">
        <v>20</v>
      </c>
      <c r="J239" s="7">
        <v>7.38</v>
      </c>
      <c r="K239" s="23" t="s">
        <v>12</v>
      </c>
      <c r="L239" s="23">
        <v>7.38</v>
      </c>
      <c r="M239" s="23" t="s">
        <v>12</v>
      </c>
      <c r="N239" s="8" t="s">
        <v>13</v>
      </c>
      <c r="O239" s="7" t="s">
        <v>20</v>
      </c>
      <c r="P239" s="6" t="s">
        <v>20</v>
      </c>
      <c r="Q239" s="7">
        <v>8</v>
      </c>
      <c r="R239" s="6" t="s">
        <v>23</v>
      </c>
      <c r="S239" s="23" t="s">
        <v>13</v>
      </c>
      <c r="T239" s="24" t="s">
        <v>20</v>
      </c>
    </row>
    <row r="240" spans="1:20" x14ac:dyDescent="0.3">
      <c r="A240" s="17">
        <v>239</v>
      </c>
      <c r="B240" s="6" t="s">
        <v>504</v>
      </c>
      <c r="C240" s="6" t="s">
        <v>249</v>
      </c>
      <c r="D240" s="7">
        <v>211.34</v>
      </c>
      <c r="E240" s="23" t="s">
        <v>11</v>
      </c>
      <c r="F240" s="23">
        <v>169.07999999999998</v>
      </c>
      <c r="G240" s="23" t="s">
        <v>11</v>
      </c>
      <c r="H240" s="7" t="s">
        <v>20</v>
      </c>
      <c r="I240" s="23" t="s">
        <v>20</v>
      </c>
      <c r="J240" s="7">
        <v>8.0499999999999989</v>
      </c>
      <c r="K240" s="23" t="s">
        <v>12</v>
      </c>
      <c r="L240" s="23">
        <v>8.0499999999999989</v>
      </c>
      <c r="M240" s="23" t="s">
        <v>12</v>
      </c>
      <c r="N240" s="8" t="s">
        <v>13</v>
      </c>
      <c r="O240" s="7" t="s">
        <v>20</v>
      </c>
      <c r="P240" s="6" t="s">
        <v>20</v>
      </c>
      <c r="Q240" s="7">
        <v>8</v>
      </c>
      <c r="R240" s="6" t="s">
        <v>23</v>
      </c>
      <c r="S240" s="23" t="s">
        <v>13</v>
      </c>
      <c r="T240" s="24" t="s">
        <v>20</v>
      </c>
    </row>
    <row r="241" spans="1:20" x14ac:dyDescent="0.3">
      <c r="A241" s="17">
        <v>240</v>
      </c>
      <c r="B241" s="6" t="s">
        <v>505</v>
      </c>
      <c r="C241" s="6" t="s">
        <v>243</v>
      </c>
      <c r="D241" s="7">
        <v>4.2299999999999995</v>
      </c>
      <c r="E241" s="23" t="s">
        <v>11</v>
      </c>
      <c r="F241" s="23">
        <v>2.65</v>
      </c>
      <c r="G241" s="23" t="s">
        <v>11</v>
      </c>
      <c r="H241" s="7" t="s">
        <v>20</v>
      </c>
      <c r="I241" s="23" t="s">
        <v>20</v>
      </c>
      <c r="J241" s="7">
        <v>0.5</v>
      </c>
      <c r="K241" s="23" t="s">
        <v>12</v>
      </c>
      <c r="L241" s="23">
        <v>0.5</v>
      </c>
      <c r="M241" s="23" t="s">
        <v>12</v>
      </c>
      <c r="N241" s="8" t="s">
        <v>13</v>
      </c>
      <c r="O241" s="7" t="s">
        <v>20</v>
      </c>
      <c r="P241" s="6" t="s">
        <v>20</v>
      </c>
      <c r="Q241" s="7" t="s">
        <v>13</v>
      </c>
      <c r="R241" s="6" t="s">
        <v>23</v>
      </c>
      <c r="S241" s="23" t="s">
        <v>506</v>
      </c>
      <c r="T241" s="24" t="s">
        <v>20</v>
      </c>
    </row>
    <row r="242" spans="1:20" x14ac:dyDescent="0.3">
      <c r="A242" s="17">
        <v>241</v>
      </c>
      <c r="B242" s="6" t="s">
        <v>507</v>
      </c>
      <c r="C242" s="6" t="s">
        <v>243</v>
      </c>
      <c r="D242" s="7">
        <v>9.25</v>
      </c>
      <c r="E242" s="23" t="s">
        <v>11</v>
      </c>
      <c r="F242" s="23">
        <v>5.29</v>
      </c>
      <c r="G242" s="23" t="s">
        <v>11</v>
      </c>
      <c r="H242" s="7" t="s">
        <v>20</v>
      </c>
      <c r="I242" s="23" t="s">
        <v>20</v>
      </c>
      <c r="J242" s="7">
        <v>0.5</v>
      </c>
      <c r="K242" s="23" t="s">
        <v>12</v>
      </c>
      <c r="L242" s="23">
        <v>0.5</v>
      </c>
      <c r="M242" s="23" t="s">
        <v>12</v>
      </c>
      <c r="N242" s="8" t="s">
        <v>13</v>
      </c>
      <c r="O242" s="7" t="s">
        <v>20</v>
      </c>
      <c r="P242" s="6" t="s">
        <v>20</v>
      </c>
      <c r="Q242" s="7" t="s">
        <v>13</v>
      </c>
      <c r="R242" s="6" t="s">
        <v>23</v>
      </c>
      <c r="S242" s="23" t="s">
        <v>506</v>
      </c>
      <c r="T242" s="24" t="s">
        <v>20</v>
      </c>
    </row>
    <row r="243" spans="1:20" x14ac:dyDescent="0.3">
      <c r="A243" s="17">
        <v>242</v>
      </c>
      <c r="B243" s="6" t="s">
        <v>508</v>
      </c>
      <c r="C243" s="6" t="s">
        <v>243</v>
      </c>
      <c r="D243" s="7">
        <v>21.14</v>
      </c>
      <c r="E243" s="23" t="s">
        <v>11</v>
      </c>
      <c r="F243" s="23">
        <v>13.209999999999999</v>
      </c>
      <c r="G243" s="23" t="s">
        <v>11</v>
      </c>
      <c r="H243" s="7" t="s">
        <v>20</v>
      </c>
      <c r="I243" s="23" t="s">
        <v>20</v>
      </c>
      <c r="J243" s="7">
        <v>1</v>
      </c>
      <c r="K243" s="23" t="s">
        <v>12</v>
      </c>
      <c r="L243" s="23">
        <v>1</v>
      </c>
      <c r="M243" s="23" t="s">
        <v>12</v>
      </c>
      <c r="N243" s="8" t="s">
        <v>13</v>
      </c>
      <c r="O243" s="7" t="s">
        <v>20</v>
      </c>
      <c r="P243" s="6" t="s">
        <v>20</v>
      </c>
      <c r="Q243" s="7" t="s">
        <v>13</v>
      </c>
      <c r="R243" s="6" t="s">
        <v>23</v>
      </c>
      <c r="S243" s="23" t="s">
        <v>506</v>
      </c>
      <c r="T243" s="24" t="s">
        <v>20</v>
      </c>
    </row>
    <row r="244" spans="1:20" x14ac:dyDescent="0.3">
      <c r="A244" s="17">
        <v>243</v>
      </c>
      <c r="B244" s="6" t="s">
        <v>509</v>
      </c>
      <c r="C244" s="6" t="s">
        <v>243</v>
      </c>
      <c r="D244" s="7">
        <v>39.629999999999995</v>
      </c>
      <c r="E244" s="23" t="s">
        <v>11</v>
      </c>
      <c r="F244" s="23">
        <v>26.42</v>
      </c>
      <c r="G244" s="23" t="s">
        <v>11</v>
      </c>
      <c r="H244" s="7" t="s">
        <v>20</v>
      </c>
      <c r="I244" s="23" t="s">
        <v>20</v>
      </c>
      <c r="J244" s="7">
        <v>2</v>
      </c>
      <c r="K244" s="23" t="s">
        <v>12</v>
      </c>
      <c r="L244" s="23">
        <v>2</v>
      </c>
      <c r="M244" s="23" t="s">
        <v>12</v>
      </c>
      <c r="N244" s="8" t="s">
        <v>13</v>
      </c>
      <c r="O244" s="7" t="s">
        <v>20</v>
      </c>
      <c r="P244" s="6" t="s">
        <v>20</v>
      </c>
      <c r="Q244" s="7" t="s">
        <v>13</v>
      </c>
      <c r="R244" s="6" t="s">
        <v>23</v>
      </c>
      <c r="S244" s="23" t="s">
        <v>506</v>
      </c>
      <c r="T244" s="24" t="s">
        <v>20</v>
      </c>
    </row>
    <row r="245" spans="1:20" x14ac:dyDescent="0.3">
      <c r="A245" s="17">
        <v>244</v>
      </c>
      <c r="B245" s="6" t="s">
        <v>510</v>
      </c>
      <c r="C245" s="6" t="s">
        <v>243</v>
      </c>
      <c r="D245" s="7">
        <v>79.260000000000005</v>
      </c>
      <c r="E245" s="23" t="s">
        <v>11</v>
      </c>
      <c r="F245" s="23">
        <v>52.839999999999996</v>
      </c>
      <c r="G245" s="23" t="s">
        <v>11</v>
      </c>
      <c r="H245" s="7" t="s">
        <v>20</v>
      </c>
      <c r="I245" s="23" t="s">
        <v>20</v>
      </c>
      <c r="J245" s="7">
        <v>2</v>
      </c>
      <c r="K245" s="23" t="s">
        <v>12</v>
      </c>
      <c r="L245" s="23">
        <v>2</v>
      </c>
      <c r="M245" s="23" t="s">
        <v>12</v>
      </c>
      <c r="N245" s="8" t="s">
        <v>13</v>
      </c>
      <c r="O245" s="7" t="s">
        <v>20</v>
      </c>
      <c r="P245" s="6" t="s">
        <v>20</v>
      </c>
      <c r="Q245" s="7" t="s">
        <v>13</v>
      </c>
      <c r="R245" s="6" t="s">
        <v>23</v>
      </c>
      <c r="S245" s="23" t="s">
        <v>506</v>
      </c>
      <c r="T245" s="24" t="s">
        <v>20</v>
      </c>
    </row>
    <row r="246" spans="1:20" x14ac:dyDescent="0.3">
      <c r="A246" s="17">
        <v>245</v>
      </c>
      <c r="B246" s="6" t="s">
        <v>511</v>
      </c>
      <c r="C246" s="6" t="s">
        <v>243</v>
      </c>
      <c r="D246" s="7">
        <v>124.17</v>
      </c>
      <c r="E246" s="23" t="s">
        <v>11</v>
      </c>
      <c r="F246" s="23">
        <v>79.260000000000005</v>
      </c>
      <c r="G246" s="23" t="s">
        <v>11</v>
      </c>
      <c r="H246" s="7" t="s">
        <v>20</v>
      </c>
      <c r="I246" s="23" t="s">
        <v>20</v>
      </c>
      <c r="J246" s="7">
        <v>5</v>
      </c>
      <c r="K246" s="23" t="s">
        <v>12</v>
      </c>
      <c r="L246" s="23">
        <v>5</v>
      </c>
      <c r="M246" s="23" t="s">
        <v>12</v>
      </c>
      <c r="N246" s="8" t="s">
        <v>13</v>
      </c>
      <c r="O246" s="7" t="s">
        <v>20</v>
      </c>
      <c r="P246" s="6" t="s">
        <v>20</v>
      </c>
      <c r="Q246" s="7" t="s">
        <v>13</v>
      </c>
      <c r="R246" s="6" t="s">
        <v>23</v>
      </c>
      <c r="S246" s="23" t="s">
        <v>506</v>
      </c>
      <c r="T246" s="24" t="s">
        <v>20</v>
      </c>
    </row>
    <row r="247" spans="1:20" x14ac:dyDescent="0.3">
      <c r="A247" s="17">
        <v>246</v>
      </c>
      <c r="B247" s="6" t="s">
        <v>512</v>
      </c>
      <c r="C247" s="6" t="s">
        <v>243</v>
      </c>
      <c r="D247" s="7">
        <v>162.47</v>
      </c>
      <c r="E247" s="23" t="s">
        <v>11</v>
      </c>
      <c r="F247" s="23">
        <v>105.67</v>
      </c>
      <c r="G247" s="23" t="s">
        <v>11</v>
      </c>
      <c r="H247" s="7" t="s">
        <v>20</v>
      </c>
      <c r="I247" s="23" t="s">
        <v>20</v>
      </c>
      <c r="J247" s="7">
        <v>6</v>
      </c>
      <c r="K247" s="23" t="s">
        <v>12</v>
      </c>
      <c r="L247" s="23">
        <v>6</v>
      </c>
      <c r="M247" s="23" t="s">
        <v>12</v>
      </c>
      <c r="N247" s="8" t="s">
        <v>13</v>
      </c>
      <c r="O247" s="7" t="s">
        <v>20</v>
      </c>
      <c r="P247" s="6" t="s">
        <v>20</v>
      </c>
      <c r="Q247" s="7" t="s">
        <v>13</v>
      </c>
      <c r="R247" s="6" t="s">
        <v>23</v>
      </c>
      <c r="S247" s="23" t="s">
        <v>506</v>
      </c>
      <c r="T247" s="24" t="s">
        <v>20</v>
      </c>
    </row>
    <row r="248" spans="1:20" x14ac:dyDescent="0.3">
      <c r="A248" s="17">
        <v>247</v>
      </c>
      <c r="B248" s="6" t="s">
        <v>513</v>
      </c>
      <c r="C248" s="6" t="s">
        <v>243</v>
      </c>
      <c r="D248" s="7">
        <v>203.42</v>
      </c>
      <c r="E248" s="23" t="s">
        <v>11</v>
      </c>
      <c r="F248" s="23">
        <v>132.09</v>
      </c>
      <c r="G248" s="23" t="s">
        <v>11</v>
      </c>
      <c r="H248" s="7" t="s">
        <v>20</v>
      </c>
      <c r="I248" s="23" t="s">
        <v>20</v>
      </c>
      <c r="J248" s="7">
        <v>7.5</v>
      </c>
      <c r="K248" s="23" t="s">
        <v>12</v>
      </c>
      <c r="L248" s="23">
        <v>7.5</v>
      </c>
      <c r="M248" s="23" t="s">
        <v>12</v>
      </c>
      <c r="N248" s="8" t="s">
        <v>13</v>
      </c>
      <c r="O248" s="7" t="s">
        <v>20</v>
      </c>
      <c r="P248" s="6" t="s">
        <v>20</v>
      </c>
      <c r="Q248" s="7" t="s">
        <v>13</v>
      </c>
      <c r="R248" s="6" t="s">
        <v>23</v>
      </c>
      <c r="S248" s="23" t="s">
        <v>506</v>
      </c>
      <c r="T248" s="24" t="s">
        <v>20</v>
      </c>
    </row>
    <row r="249" spans="1:20" x14ac:dyDescent="0.3">
      <c r="A249" s="17">
        <v>248</v>
      </c>
      <c r="B249" s="6" t="s">
        <v>514</v>
      </c>
      <c r="C249" s="6" t="s">
        <v>243</v>
      </c>
      <c r="D249" s="7">
        <v>264.18</v>
      </c>
      <c r="E249" s="23" t="s">
        <v>11</v>
      </c>
      <c r="F249" s="23">
        <v>158.51</v>
      </c>
      <c r="G249" s="23" t="s">
        <v>11</v>
      </c>
      <c r="H249" s="7" t="s">
        <v>20</v>
      </c>
      <c r="I249" s="23" t="s">
        <v>20</v>
      </c>
      <c r="J249" s="7">
        <v>7.5</v>
      </c>
      <c r="K249" s="23" t="s">
        <v>12</v>
      </c>
      <c r="L249" s="23">
        <v>7.5</v>
      </c>
      <c r="M249" s="23" t="s">
        <v>12</v>
      </c>
      <c r="N249" s="8" t="s">
        <v>13</v>
      </c>
      <c r="O249" s="7" t="s">
        <v>20</v>
      </c>
      <c r="P249" s="6" t="s">
        <v>20</v>
      </c>
      <c r="Q249" s="7" t="s">
        <v>13</v>
      </c>
      <c r="R249" s="6" t="s">
        <v>23</v>
      </c>
      <c r="S249" s="23" t="s">
        <v>506</v>
      </c>
      <c r="T249" s="24" t="s">
        <v>20</v>
      </c>
    </row>
    <row r="250" spans="1:20" x14ac:dyDescent="0.3">
      <c r="A250" s="17">
        <v>249</v>
      </c>
      <c r="B250" s="6" t="s">
        <v>515</v>
      </c>
      <c r="C250" s="6" t="s">
        <v>243</v>
      </c>
      <c r="D250" s="7">
        <v>354</v>
      </c>
      <c r="E250" s="23" t="s">
        <v>11</v>
      </c>
      <c r="F250" s="23">
        <v>211.34</v>
      </c>
      <c r="G250" s="23" t="s">
        <v>11</v>
      </c>
      <c r="H250" s="7" t="s">
        <v>20</v>
      </c>
      <c r="I250" s="23" t="s">
        <v>20</v>
      </c>
      <c r="J250" s="7">
        <v>7.5</v>
      </c>
      <c r="K250" s="23" t="s">
        <v>12</v>
      </c>
      <c r="L250" s="23">
        <v>7.5</v>
      </c>
      <c r="M250" s="23" t="s">
        <v>12</v>
      </c>
      <c r="N250" s="8" t="s">
        <v>13</v>
      </c>
      <c r="O250" s="7" t="s">
        <v>20</v>
      </c>
      <c r="P250" s="6" t="s">
        <v>20</v>
      </c>
      <c r="Q250" s="7" t="s">
        <v>13</v>
      </c>
      <c r="R250" s="6" t="s">
        <v>23</v>
      </c>
      <c r="S250" s="23" t="s">
        <v>506</v>
      </c>
      <c r="T250" s="24" t="s">
        <v>20</v>
      </c>
    </row>
    <row r="251" spans="1:20" x14ac:dyDescent="0.3">
      <c r="A251" s="17">
        <v>250</v>
      </c>
      <c r="B251" s="6" t="s">
        <v>516</v>
      </c>
      <c r="C251" s="6" t="s">
        <v>243</v>
      </c>
      <c r="D251" s="7">
        <v>396.26</v>
      </c>
      <c r="E251" s="23" t="s">
        <v>11</v>
      </c>
      <c r="F251" s="23">
        <v>264.18</v>
      </c>
      <c r="G251" s="23" t="s">
        <v>11</v>
      </c>
      <c r="H251" s="7" t="s">
        <v>20</v>
      </c>
      <c r="I251" s="23" t="s">
        <v>20</v>
      </c>
      <c r="J251" s="7">
        <v>10</v>
      </c>
      <c r="K251" s="23" t="s">
        <v>12</v>
      </c>
      <c r="L251" s="23">
        <v>10</v>
      </c>
      <c r="M251" s="23" t="s">
        <v>12</v>
      </c>
      <c r="N251" s="8" t="s">
        <v>13</v>
      </c>
      <c r="O251" s="7" t="s">
        <v>20</v>
      </c>
      <c r="P251" s="6" t="s">
        <v>20</v>
      </c>
      <c r="Q251" s="7" t="s">
        <v>13</v>
      </c>
      <c r="R251" s="6" t="s">
        <v>23</v>
      </c>
      <c r="S251" s="23" t="s">
        <v>506</v>
      </c>
      <c r="T251" s="24" t="s">
        <v>20</v>
      </c>
    </row>
    <row r="252" spans="1:20" x14ac:dyDescent="0.3">
      <c r="A252" s="17">
        <v>251</v>
      </c>
      <c r="B252" s="6" t="s">
        <v>517</v>
      </c>
      <c r="C252" s="6" t="s">
        <v>243</v>
      </c>
      <c r="D252" s="7">
        <v>528.35</v>
      </c>
      <c r="E252" s="23" t="s">
        <v>11</v>
      </c>
      <c r="F252" s="23">
        <v>343.43</v>
      </c>
      <c r="G252" s="23" t="s">
        <v>11</v>
      </c>
      <c r="H252" s="7" t="s">
        <v>20</v>
      </c>
      <c r="I252" s="23" t="s">
        <v>20</v>
      </c>
      <c r="J252" s="7">
        <v>10</v>
      </c>
      <c r="K252" s="23" t="s">
        <v>12</v>
      </c>
      <c r="L252" s="23">
        <v>10</v>
      </c>
      <c r="M252" s="23" t="s">
        <v>12</v>
      </c>
      <c r="N252" s="8" t="s">
        <v>13</v>
      </c>
      <c r="O252" s="7" t="s">
        <v>20</v>
      </c>
      <c r="P252" s="6" t="s">
        <v>20</v>
      </c>
      <c r="Q252" s="7" t="s">
        <v>13</v>
      </c>
      <c r="R252" s="6" t="s">
        <v>23</v>
      </c>
      <c r="S252" s="23" t="s">
        <v>506</v>
      </c>
      <c r="T252" s="24" t="s">
        <v>20</v>
      </c>
    </row>
    <row r="253" spans="1:20" x14ac:dyDescent="0.3">
      <c r="A253" s="17">
        <v>252</v>
      </c>
      <c r="B253" s="6" t="s">
        <v>518</v>
      </c>
      <c r="C253" s="6" t="s">
        <v>243</v>
      </c>
      <c r="D253" s="7">
        <v>660.43999999999994</v>
      </c>
      <c r="E253" s="23" t="s">
        <v>11</v>
      </c>
      <c r="F253" s="23">
        <v>396.26</v>
      </c>
      <c r="G253" s="23" t="s">
        <v>11</v>
      </c>
      <c r="H253" s="7" t="s">
        <v>20</v>
      </c>
      <c r="I253" s="23" t="s">
        <v>20</v>
      </c>
      <c r="J253" s="7">
        <v>10</v>
      </c>
      <c r="K253" s="23" t="s">
        <v>12</v>
      </c>
      <c r="L253" s="23">
        <v>10</v>
      </c>
      <c r="M253" s="23" t="s">
        <v>12</v>
      </c>
      <c r="N253" s="8" t="s">
        <v>13</v>
      </c>
      <c r="O253" s="7" t="s">
        <v>20</v>
      </c>
      <c r="P253" s="6" t="s">
        <v>20</v>
      </c>
      <c r="Q253" s="7" t="s">
        <v>13</v>
      </c>
      <c r="R253" s="6" t="s">
        <v>23</v>
      </c>
      <c r="S253" s="23" t="s">
        <v>506</v>
      </c>
      <c r="T253" s="24" t="s">
        <v>20</v>
      </c>
    </row>
    <row r="254" spans="1:20" x14ac:dyDescent="0.3">
      <c r="A254" s="17">
        <v>253</v>
      </c>
      <c r="B254" s="6" t="s">
        <v>519</v>
      </c>
      <c r="C254" s="6" t="s">
        <v>258</v>
      </c>
      <c r="D254" s="7">
        <v>2.65</v>
      </c>
      <c r="E254" s="23" t="s">
        <v>11</v>
      </c>
      <c r="F254" s="23">
        <v>1.33</v>
      </c>
      <c r="G254" s="23" t="s">
        <v>11</v>
      </c>
      <c r="H254" s="7">
        <v>0.5</v>
      </c>
      <c r="I254" s="23" t="s">
        <v>12</v>
      </c>
      <c r="J254" s="7" t="s">
        <v>20</v>
      </c>
      <c r="K254" s="23" t="s">
        <v>20</v>
      </c>
      <c r="L254" s="23">
        <v>0.5</v>
      </c>
      <c r="M254" s="23" t="s">
        <v>12</v>
      </c>
      <c r="N254" s="8" t="s">
        <v>13</v>
      </c>
      <c r="O254" s="7" t="s">
        <v>13</v>
      </c>
      <c r="P254" s="6" t="s">
        <v>23</v>
      </c>
      <c r="Q254" s="7" t="s">
        <v>20</v>
      </c>
      <c r="R254" s="6" t="s">
        <v>20</v>
      </c>
      <c r="S254" s="23" t="s">
        <v>506</v>
      </c>
      <c r="T254" s="24" t="s">
        <v>303</v>
      </c>
    </row>
    <row r="255" spans="1:20" x14ac:dyDescent="0.3">
      <c r="A255" s="17">
        <v>254</v>
      </c>
      <c r="B255" s="6" t="s">
        <v>520</v>
      </c>
      <c r="C255" s="6" t="s">
        <v>258</v>
      </c>
      <c r="D255" s="7">
        <v>13.209999999999999</v>
      </c>
      <c r="E255" s="23" t="s">
        <v>11</v>
      </c>
      <c r="F255" s="23">
        <v>5.29</v>
      </c>
      <c r="G255" s="23" t="s">
        <v>11</v>
      </c>
      <c r="H255" s="7">
        <v>1</v>
      </c>
      <c r="I255" s="23" t="s">
        <v>12</v>
      </c>
      <c r="J255" s="7" t="s">
        <v>20</v>
      </c>
      <c r="K255" s="23" t="s">
        <v>20</v>
      </c>
      <c r="L255" s="23">
        <v>1</v>
      </c>
      <c r="M255" s="23" t="s">
        <v>12</v>
      </c>
      <c r="N255" s="8" t="s">
        <v>13</v>
      </c>
      <c r="O255" s="7" t="s">
        <v>13</v>
      </c>
      <c r="P255" s="6" t="s">
        <v>23</v>
      </c>
      <c r="Q255" s="7" t="s">
        <v>20</v>
      </c>
      <c r="R255" s="6" t="s">
        <v>20</v>
      </c>
      <c r="S255" s="23" t="s">
        <v>506</v>
      </c>
      <c r="T255" s="24" t="s">
        <v>303</v>
      </c>
    </row>
    <row r="256" spans="1:20" x14ac:dyDescent="0.3">
      <c r="A256" s="17">
        <v>255</v>
      </c>
      <c r="B256" s="6" t="s">
        <v>521</v>
      </c>
      <c r="C256" s="6" t="s">
        <v>258</v>
      </c>
      <c r="D256" s="7">
        <v>19.82</v>
      </c>
      <c r="E256" s="23" t="s">
        <v>11</v>
      </c>
      <c r="F256" s="23">
        <v>13.209999999999999</v>
      </c>
      <c r="G256" s="23" t="s">
        <v>11</v>
      </c>
      <c r="H256" s="7">
        <v>1</v>
      </c>
      <c r="I256" s="23" t="s">
        <v>12</v>
      </c>
      <c r="J256" s="7" t="s">
        <v>20</v>
      </c>
      <c r="K256" s="23" t="s">
        <v>20</v>
      </c>
      <c r="L256" s="23">
        <v>1</v>
      </c>
      <c r="M256" s="23" t="s">
        <v>12</v>
      </c>
      <c r="N256" s="8" t="s">
        <v>13</v>
      </c>
      <c r="O256" s="7" t="s">
        <v>13</v>
      </c>
      <c r="P256" s="6" t="s">
        <v>23</v>
      </c>
      <c r="Q256" s="7" t="s">
        <v>20</v>
      </c>
      <c r="R256" s="6" t="s">
        <v>20</v>
      </c>
      <c r="S256" s="23" t="s">
        <v>506</v>
      </c>
      <c r="T256" s="24" t="s">
        <v>303</v>
      </c>
    </row>
    <row r="257" spans="1:20" x14ac:dyDescent="0.3">
      <c r="A257" s="17">
        <v>256</v>
      </c>
      <c r="B257" s="6" t="s">
        <v>522</v>
      </c>
      <c r="C257" s="6" t="s">
        <v>258</v>
      </c>
      <c r="D257" s="7">
        <v>39.629999999999995</v>
      </c>
      <c r="E257" s="23" t="s">
        <v>11</v>
      </c>
      <c r="F257" s="23">
        <v>26.42</v>
      </c>
      <c r="G257" s="23" t="s">
        <v>11</v>
      </c>
      <c r="H257" s="7">
        <v>2</v>
      </c>
      <c r="I257" s="23" t="s">
        <v>12</v>
      </c>
      <c r="J257" s="7" t="s">
        <v>20</v>
      </c>
      <c r="K257" s="23" t="s">
        <v>20</v>
      </c>
      <c r="L257" s="23">
        <v>2</v>
      </c>
      <c r="M257" s="23" t="s">
        <v>12</v>
      </c>
      <c r="N257" s="8" t="s">
        <v>13</v>
      </c>
      <c r="O257" s="7" t="s">
        <v>13</v>
      </c>
      <c r="P257" s="6" t="s">
        <v>23</v>
      </c>
      <c r="Q257" s="7" t="s">
        <v>20</v>
      </c>
      <c r="R257" s="6" t="s">
        <v>20</v>
      </c>
      <c r="S257" s="23" t="s">
        <v>506</v>
      </c>
      <c r="T257" s="24" t="s">
        <v>303</v>
      </c>
    </row>
    <row r="258" spans="1:20" x14ac:dyDescent="0.3">
      <c r="A258" s="17">
        <v>257</v>
      </c>
      <c r="B258" s="6" t="s">
        <v>523</v>
      </c>
      <c r="C258" s="6" t="s">
        <v>258</v>
      </c>
      <c r="D258" s="7">
        <v>66.050000000000011</v>
      </c>
      <c r="E258" s="23" t="s">
        <v>11</v>
      </c>
      <c r="F258" s="23">
        <v>39.629999999999995</v>
      </c>
      <c r="G258" s="23" t="s">
        <v>11</v>
      </c>
      <c r="H258" s="7">
        <v>3</v>
      </c>
      <c r="I258" s="23" t="s">
        <v>12</v>
      </c>
      <c r="J258" s="7" t="s">
        <v>20</v>
      </c>
      <c r="K258" s="23" t="s">
        <v>20</v>
      </c>
      <c r="L258" s="23">
        <v>3</v>
      </c>
      <c r="M258" s="23" t="s">
        <v>12</v>
      </c>
      <c r="N258" s="8" t="s">
        <v>13</v>
      </c>
      <c r="O258" s="7" t="s">
        <v>13</v>
      </c>
      <c r="P258" s="6" t="s">
        <v>23</v>
      </c>
      <c r="Q258" s="7" t="s">
        <v>20</v>
      </c>
      <c r="R258" s="6" t="s">
        <v>20</v>
      </c>
      <c r="S258" s="23" t="s">
        <v>506</v>
      </c>
      <c r="T258" s="24" t="s">
        <v>303</v>
      </c>
    </row>
    <row r="259" spans="1:20" x14ac:dyDescent="0.3">
      <c r="A259" s="17">
        <v>258</v>
      </c>
      <c r="B259" s="6" t="s">
        <v>524</v>
      </c>
      <c r="C259" s="6" t="s">
        <v>258</v>
      </c>
      <c r="D259" s="7">
        <v>118.88000000000001</v>
      </c>
      <c r="E259" s="23" t="s">
        <v>11</v>
      </c>
      <c r="F259" s="23">
        <v>79.260000000000005</v>
      </c>
      <c r="G259" s="23" t="s">
        <v>11</v>
      </c>
      <c r="H259" s="7">
        <v>5</v>
      </c>
      <c r="I259" s="23" t="s">
        <v>12</v>
      </c>
      <c r="J259" s="7" t="s">
        <v>20</v>
      </c>
      <c r="K259" s="23" t="s">
        <v>20</v>
      </c>
      <c r="L259" s="23">
        <v>5</v>
      </c>
      <c r="M259" s="23" t="s">
        <v>12</v>
      </c>
      <c r="N259" s="8" t="s">
        <v>13</v>
      </c>
      <c r="O259" s="7" t="s">
        <v>13</v>
      </c>
      <c r="P259" s="6" t="s">
        <v>23</v>
      </c>
      <c r="Q259" s="7" t="s">
        <v>20</v>
      </c>
      <c r="R259" s="6" t="s">
        <v>20</v>
      </c>
      <c r="S259" s="23" t="s">
        <v>506</v>
      </c>
      <c r="T259" s="24" t="s">
        <v>303</v>
      </c>
    </row>
    <row r="260" spans="1:20" x14ac:dyDescent="0.3">
      <c r="A260" s="17">
        <v>259</v>
      </c>
      <c r="B260" s="6" t="s">
        <v>525</v>
      </c>
      <c r="C260" s="6" t="s">
        <v>258</v>
      </c>
      <c r="D260" s="7">
        <v>158.51</v>
      </c>
      <c r="E260" s="23" t="s">
        <v>11</v>
      </c>
      <c r="F260" s="23">
        <v>118.88000000000001</v>
      </c>
      <c r="G260" s="23" t="s">
        <v>11</v>
      </c>
      <c r="H260" s="7">
        <v>7.5</v>
      </c>
      <c r="I260" s="23" t="s">
        <v>12</v>
      </c>
      <c r="J260" s="7" t="s">
        <v>20</v>
      </c>
      <c r="K260" s="23" t="s">
        <v>20</v>
      </c>
      <c r="L260" s="23">
        <v>7.5</v>
      </c>
      <c r="M260" s="23" t="s">
        <v>12</v>
      </c>
      <c r="N260" s="8" t="s">
        <v>13</v>
      </c>
      <c r="O260" s="7" t="s">
        <v>13</v>
      </c>
      <c r="P260" s="6" t="s">
        <v>23</v>
      </c>
      <c r="Q260" s="7" t="s">
        <v>20</v>
      </c>
      <c r="R260" s="6" t="s">
        <v>20</v>
      </c>
      <c r="S260" s="23" t="s">
        <v>506</v>
      </c>
      <c r="T260" s="24" t="s">
        <v>303</v>
      </c>
    </row>
    <row r="261" spans="1:20" x14ac:dyDescent="0.3">
      <c r="A261" s="17">
        <v>260</v>
      </c>
      <c r="B261" s="6" t="s">
        <v>526</v>
      </c>
      <c r="C261" s="6" t="s">
        <v>258</v>
      </c>
      <c r="D261" s="7">
        <v>290.58999999999997</v>
      </c>
      <c r="E261" s="23" t="s">
        <v>11</v>
      </c>
      <c r="F261" s="23">
        <v>198.13</v>
      </c>
      <c r="G261" s="23" t="s">
        <v>11</v>
      </c>
      <c r="H261" s="7">
        <v>10</v>
      </c>
      <c r="I261" s="23" t="s">
        <v>12</v>
      </c>
      <c r="J261" s="7" t="s">
        <v>20</v>
      </c>
      <c r="K261" s="23" t="s">
        <v>20</v>
      </c>
      <c r="L261" s="23">
        <v>10</v>
      </c>
      <c r="M261" s="23" t="s">
        <v>12</v>
      </c>
      <c r="N261" s="8" t="s">
        <v>13</v>
      </c>
      <c r="O261" s="7" t="s">
        <v>13</v>
      </c>
      <c r="P261" s="6" t="s">
        <v>23</v>
      </c>
      <c r="Q261" s="7" t="s">
        <v>20</v>
      </c>
      <c r="R261" s="6" t="s">
        <v>20</v>
      </c>
      <c r="S261" s="23" t="s">
        <v>506</v>
      </c>
      <c r="T261" s="24" t="s">
        <v>303</v>
      </c>
    </row>
    <row r="262" spans="1:20" x14ac:dyDescent="0.3">
      <c r="A262" s="17">
        <v>261</v>
      </c>
      <c r="B262" s="6" t="s">
        <v>527</v>
      </c>
      <c r="C262" s="6" t="s">
        <v>258</v>
      </c>
      <c r="D262" s="7">
        <v>396.26</v>
      </c>
      <c r="E262" s="23" t="s">
        <v>11</v>
      </c>
      <c r="F262" s="23">
        <v>264.18</v>
      </c>
      <c r="G262" s="23" t="s">
        <v>11</v>
      </c>
      <c r="H262" s="7">
        <v>12.5</v>
      </c>
      <c r="I262" s="23" t="s">
        <v>12</v>
      </c>
      <c r="J262" s="7" t="s">
        <v>20</v>
      </c>
      <c r="K262" s="23" t="s">
        <v>20</v>
      </c>
      <c r="L262" s="23">
        <v>12.5</v>
      </c>
      <c r="M262" s="23" t="s">
        <v>12</v>
      </c>
      <c r="N262" s="8" t="s">
        <v>13</v>
      </c>
      <c r="O262" s="7" t="s">
        <v>13</v>
      </c>
      <c r="P262" s="6" t="s">
        <v>23</v>
      </c>
      <c r="Q262" s="7" t="s">
        <v>20</v>
      </c>
      <c r="R262" s="6" t="s">
        <v>20</v>
      </c>
      <c r="S262" s="23" t="s">
        <v>506</v>
      </c>
      <c r="T262" s="24" t="s">
        <v>303</v>
      </c>
    </row>
    <row r="263" spans="1:20" x14ac:dyDescent="0.3">
      <c r="A263" s="17">
        <v>262</v>
      </c>
      <c r="B263" s="6" t="s">
        <v>528</v>
      </c>
      <c r="C263" s="6" t="s">
        <v>258</v>
      </c>
      <c r="D263" s="7">
        <v>528.35</v>
      </c>
      <c r="E263" s="23" t="s">
        <v>11</v>
      </c>
      <c r="F263" s="23">
        <v>330.21999999999997</v>
      </c>
      <c r="G263" s="23" t="s">
        <v>11</v>
      </c>
      <c r="H263" s="7">
        <v>15</v>
      </c>
      <c r="I263" s="23" t="s">
        <v>12</v>
      </c>
      <c r="J263" s="7" t="s">
        <v>20</v>
      </c>
      <c r="K263" s="23" t="s">
        <v>20</v>
      </c>
      <c r="L263" s="23">
        <v>15</v>
      </c>
      <c r="M263" s="23" t="s">
        <v>12</v>
      </c>
      <c r="N263" s="8" t="s">
        <v>13</v>
      </c>
      <c r="O263" s="7" t="s">
        <v>13</v>
      </c>
      <c r="P263" s="6" t="s">
        <v>23</v>
      </c>
      <c r="Q263" s="7" t="s">
        <v>20</v>
      </c>
      <c r="R263" s="6" t="s">
        <v>20</v>
      </c>
      <c r="S263" s="23" t="s">
        <v>506</v>
      </c>
      <c r="T263" s="24" t="s">
        <v>303</v>
      </c>
    </row>
    <row r="264" spans="1:20" x14ac:dyDescent="0.3">
      <c r="A264" s="17">
        <v>263</v>
      </c>
      <c r="B264" s="6" t="s">
        <v>529</v>
      </c>
      <c r="C264" s="6" t="s">
        <v>258</v>
      </c>
      <c r="D264" s="7">
        <v>792.52</v>
      </c>
      <c r="E264" s="23" t="s">
        <v>11</v>
      </c>
      <c r="F264" s="23">
        <v>495.33</v>
      </c>
      <c r="G264" s="23" t="s">
        <v>11</v>
      </c>
      <c r="H264" s="7">
        <v>20</v>
      </c>
      <c r="I264" s="23" t="s">
        <v>12</v>
      </c>
      <c r="J264" s="7" t="s">
        <v>20</v>
      </c>
      <c r="K264" s="23" t="s">
        <v>20</v>
      </c>
      <c r="L264" s="23">
        <v>20</v>
      </c>
      <c r="M264" s="23" t="s">
        <v>12</v>
      </c>
      <c r="N264" s="8" t="s">
        <v>13</v>
      </c>
      <c r="O264" s="7" t="s">
        <v>13</v>
      </c>
      <c r="P264" s="6" t="s">
        <v>23</v>
      </c>
      <c r="Q264" s="7" t="s">
        <v>20</v>
      </c>
      <c r="R264" s="6" t="s">
        <v>20</v>
      </c>
      <c r="S264" s="23" t="s">
        <v>506</v>
      </c>
      <c r="T264" s="24" t="s">
        <v>303</v>
      </c>
    </row>
    <row r="265" spans="1:20" x14ac:dyDescent="0.3">
      <c r="A265" s="17">
        <v>264</v>
      </c>
      <c r="B265" s="6" t="s">
        <v>530</v>
      </c>
      <c r="C265" s="6" t="s">
        <v>258</v>
      </c>
      <c r="D265" s="7">
        <v>1320.87</v>
      </c>
      <c r="E265" s="23" t="s">
        <v>11</v>
      </c>
      <c r="F265" s="23">
        <v>792.52</v>
      </c>
      <c r="G265" s="23" t="s">
        <v>11</v>
      </c>
      <c r="H265" s="7">
        <v>25</v>
      </c>
      <c r="I265" s="23" t="s">
        <v>12</v>
      </c>
      <c r="J265" s="7" t="s">
        <v>20</v>
      </c>
      <c r="K265" s="23" t="s">
        <v>20</v>
      </c>
      <c r="L265" s="23">
        <v>25</v>
      </c>
      <c r="M265" s="23" t="s">
        <v>12</v>
      </c>
      <c r="N265" s="8" t="s">
        <v>13</v>
      </c>
      <c r="O265" s="7" t="s">
        <v>13</v>
      </c>
      <c r="P265" s="6" t="s">
        <v>23</v>
      </c>
      <c r="Q265" s="7" t="s">
        <v>20</v>
      </c>
      <c r="R265" s="6" t="s">
        <v>20</v>
      </c>
      <c r="S265" s="23" t="s">
        <v>506</v>
      </c>
      <c r="T265" s="24" t="s">
        <v>303</v>
      </c>
    </row>
    <row r="266" spans="1:20" ht="15" thickBot="1" x14ac:dyDescent="0.35">
      <c r="A266" s="18">
        <v>265</v>
      </c>
      <c r="B266" s="10" t="s">
        <v>531</v>
      </c>
      <c r="C266" s="10" t="s">
        <v>258</v>
      </c>
      <c r="D266" s="11">
        <v>2641.73</v>
      </c>
      <c r="E266" s="25" t="s">
        <v>11</v>
      </c>
      <c r="F266" s="25">
        <v>1320.87</v>
      </c>
      <c r="G266" s="25" t="s">
        <v>11</v>
      </c>
      <c r="H266" s="11">
        <v>40</v>
      </c>
      <c r="I266" s="25" t="s">
        <v>12</v>
      </c>
      <c r="J266" s="11" t="s">
        <v>20</v>
      </c>
      <c r="K266" s="25" t="s">
        <v>20</v>
      </c>
      <c r="L266" s="25">
        <v>40</v>
      </c>
      <c r="M266" s="25" t="s">
        <v>12</v>
      </c>
      <c r="N266" s="12" t="s">
        <v>13</v>
      </c>
      <c r="O266" s="11" t="s">
        <v>13</v>
      </c>
      <c r="P266" s="10" t="s">
        <v>23</v>
      </c>
      <c r="Q266" s="11" t="s">
        <v>20</v>
      </c>
      <c r="R266" s="10" t="s">
        <v>20</v>
      </c>
      <c r="S266" s="25" t="s">
        <v>506</v>
      </c>
      <c r="T266" s="26" t="s">
        <v>303</v>
      </c>
    </row>
    <row r="267" spans="1:20" ht="15" thickBot="1" x14ac:dyDescent="0.35"/>
    <row r="268" spans="1:20" x14ac:dyDescent="0.3">
      <c r="A268" s="14" t="s">
        <v>237</v>
      </c>
      <c r="B268" s="54" t="s">
        <v>227</v>
      </c>
      <c r="C268" s="54"/>
      <c r="D268" s="54"/>
      <c r="E268" s="54"/>
      <c r="F268" s="54"/>
      <c r="G268" s="27" t="s">
        <v>236</v>
      </c>
    </row>
    <row r="269" spans="1:20" x14ac:dyDescent="0.3">
      <c r="A269" s="17">
        <v>1</v>
      </c>
      <c r="B269" s="52" t="s">
        <v>228</v>
      </c>
      <c r="C269" s="53"/>
      <c r="D269" s="53"/>
      <c r="E269" s="53"/>
      <c r="F269" s="53"/>
      <c r="G269" s="24" t="s">
        <v>535</v>
      </c>
    </row>
    <row r="270" spans="1:20" x14ac:dyDescent="0.3">
      <c r="A270" s="17">
        <v>2</v>
      </c>
      <c r="B270" s="52" t="s">
        <v>536</v>
      </c>
      <c r="C270" s="53"/>
      <c r="D270" s="53"/>
      <c r="E270" s="53"/>
      <c r="F270" s="53"/>
      <c r="G270" s="24" t="s">
        <v>537</v>
      </c>
    </row>
    <row r="271" spans="1:20" x14ac:dyDescent="0.3">
      <c r="A271" s="17">
        <v>3</v>
      </c>
      <c r="B271" s="52" t="s">
        <v>538</v>
      </c>
      <c r="C271" s="53"/>
      <c r="D271" s="53"/>
      <c r="E271" s="53"/>
      <c r="F271" s="53"/>
      <c r="G271" s="24" t="s">
        <v>539</v>
      </c>
    </row>
    <row r="272" spans="1:20" x14ac:dyDescent="0.3">
      <c r="A272" s="17">
        <v>4</v>
      </c>
      <c r="B272" s="52" t="s">
        <v>540</v>
      </c>
      <c r="C272" s="53"/>
      <c r="D272" s="53"/>
      <c r="E272" s="53"/>
      <c r="F272" s="53"/>
      <c r="G272" s="24" t="s">
        <v>541</v>
      </c>
    </row>
    <row r="273" spans="1:7" x14ac:dyDescent="0.3">
      <c r="A273" s="17">
        <v>5</v>
      </c>
      <c r="B273" s="52" t="s">
        <v>542</v>
      </c>
      <c r="C273" s="53"/>
      <c r="D273" s="53"/>
      <c r="E273" s="53"/>
      <c r="F273" s="53"/>
      <c r="G273" s="24" t="s">
        <v>543</v>
      </c>
    </row>
    <row r="274" spans="1:7" x14ac:dyDescent="0.3">
      <c r="A274" s="17">
        <v>6</v>
      </c>
      <c r="B274" s="52" t="s">
        <v>544</v>
      </c>
      <c r="C274" s="53"/>
      <c r="D274" s="53"/>
      <c r="E274" s="53"/>
      <c r="F274" s="53"/>
      <c r="G274" s="24" t="s">
        <v>545</v>
      </c>
    </row>
    <row r="275" spans="1:7" x14ac:dyDescent="0.3">
      <c r="A275" s="17">
        <v>7</v>
      </c>
      <c r="B275" s="52" t="s">
        <v>546</v>
      </c>
      <c r="C275" s="53"/>
      <c r="D275" s="53"/>
      <c r="E275" s="53"/>
      <c r="F275" s="53"/>
      <c r="G275" s="24" t="s">
        <v>547</v>
      </c>
    </row>
    <row r="276" spans="1:7" x14ac:dyDescent="0.3">
      <c r="A276" s="17">
        <v>8</v>
      </c>
      <c r="B276" s="52" t="s">
        <v>548</v>
      </c>
      <c r="C276" s="53"/>
      <c r="D276" s="53"/>
      <c r="E276" s="53"/>
      <c r="F276" s="53"/>
      <c r="G276" s="24" t="s">
        <v>549</v>
      </c>
    </row>
    <row r="277" spans="1:7" x14ac:dyDescent="0.3">
      <c r="A277" s="17">
        <v>9</v>
      </c>
      <c r="B277" s="52" t="s">
        <v>550</v>
      </c>
      <c r="C277" s="53"/>
      <c r="D277" s="53"/>
      <c r="E277" s="53"/>
      <c r="F277" s="53"/>
      <c r="G277" s="24" t="s">
        <v>551</v>
      </c>
    </row>
    <row r="278" spans="1:7" x14ac:dyDescent="0.3">
      <c r="A278" s="17">
        <v>10</v>
      </c>
      <c r="B278" s="52" t="s">
        <v>552</v>
      </c>
      <c r="C278" s="53"/>
      <c r="D278" s="53"/>
      <c r="E278" s="53"/>
      <c r="F278" s="53"/>
      <c r="G278" s="24" t="s">
        <v>553</v>
      </c>
    </row>
    <row r="279" spans="1:7" x14ac:dyDescent="0.3">
      <c r="A279" s="17">
        <v>11</v>
      </c>
      <c r="B279" s="52" t="s">
        <v>554</v>
      </c>
      <c r="C279" s="53"/>
      <c r="D279" s="53"/>
      <c r="E279" s="53"/>
      <c r="F279" s="53"/>
      <c r="G279" s="24" t="s">
        <v>555</v>
      </c>
    </row>
    <row r="280" spans="1:7" x14ac:dyDescent="0.3">
      <c r="A280" s="17">
        <v>12</v>
      </c>
      <c r="B280" s="52" t="s">
        <v>556</v>
      </c>
      <c r="C280" s="53"/>
      <c r="D280" s="53"/>
      <c r="E280" s="53"/>
      <c r="F280" s="53"/>
      <c r="G280" s="24" t="s">
        <v>557</v>
      </c>
    </row>
    <row r="281" spans="1:7" x14ac:dyDescent="0.3">
      <c r="A281" s="17">
        <v>13</v>
      </c>
      <c r="B281" s="52" t="s">
        <v>558</v>
      </c>
      <c r="C281" s="53"/>
      <c r="D281" s="53"/>
      <c r="E281" s="53"/>
      <c r="F281" s="53"/>
      <c r="G281" s="24" t="s">
        <v>559</v>
      </c>
    </row>
    <row r="282" spans="1:7" x14ac:dyDescent="0.3">
      <c r="A282" s="17">
        <v>14</v>
      </c>
      <c r="B282" s="52" t="s">
        <v>560</v>
      </c>
      <c r="C282" s="53"/>
      <c r="D282" s="53"/>
      <c r="E282" s="53"/>
      <c r="F282" s="53"/>
      <c r="G282" s="24" t="s">
        <v>561</v>
      </c>
    </row>
    <row r="283" spans="1:7" x14ac:dyDescent="0.3">
      <c r="A283" s="17">
        <v>15</v>
      </c>
      <c r="B283" s="52" t="s">
        <v>562</v>
      </c>
      <c r="C283" s="53"/>
      <c r="D283" s="53"/>
      <c r="E283" s="53"/>
      <c r="F283" s="53"/>
      <c r="G283" s="24" t="s">
        <v>563</v>
      </c>
    </row>
    <row r="284" spans="1:7" x14ac:dyDescent="0.3">
      <c r="A284" s="17">
        <v>16</v>
      </c>
      <c r="B284" s="52" t="s">
        <v>564</v>
      </c>
      <c r="C284" s="53"/>
      <c r="D284" s="53"/>
      <c r="E284" s="53"/>
      <c r="F284" s="53"/>
      <c r="G284" s="24" t="s">
        <v>565</v>
      </c>
    </row>
    <row r="285" spans="1:7" x14ac:dyDescent="0.3">
      <c r="A285" s="17">
        <v>17</v>
      </c>
      <c r="B285" s="52" t="s">
        <v>566</v>
      </c>
      <c r="C285" s="53"/>
      <c r="D285" s="53"/>
      <c r="E285" s="53"/>
      <c r="F285" s="53"/>
      <c r="G285" s="24" t="s">
        <v>567</v>
      </c>
    </row>
    <row r="286" spans="1:7" x14ac:dyDescent="0.3">
      <c r="A286" s="17">
        <v>18</v>
      </c>
      <c r="B286" s="52" t="s">
        <v>568</v>
      </c>
      <c r="C286" s="53"/>
      <c r="D286" s="53"/>
      <c r="E286" s="53"/>
      <c r="F286" s="53"/>
      <c r="G286" s="24" t="s">
        <v>569</v>
      </c>
    </row>
    <row r="287" spans="1:7" ht="15" thickBot="1" x14ac:dyDescent="0.35">
      <c r="A287" s="18">
        <v>19</v>
      </c>
      <c r="B287" s="55" t="s">
        <v>570</v>
      </c>
      <c r="C287" s="56"/>
      <c r="D287" s="56"/>
      <c r="E287" s="56"/>
      <c r="F287" s="56"/>
      <c r="G287" s="26" t="s">
        <v>571</v>
      </c>
    </row>
  </sheetData>
  <mergeCells count="20">
    <mergeCell ref="B282:F282"/>
    <mergeCell ref="B281:F281"/>
    <mergeCell ref="B280:F280"/>
    <mergeCell ref="B275:F275"/>
    <mergeCell ref="B274:F274"/>
    <mergeCell ref="B279:F279"/>
    <mergeCell ref="B278:F278"/>
    <mergeCell ref="B277:F277"/>
    <mergeCell ref="B276:F276"/>
    <mergeCell ref="B287:F287"/>
    <mergeCell ref="B286:F286"/>
    <mergeCell ref="B285:F285"/>
    <mergeCell ref="B284:F284"/>
    <mergeCell ref="B283:F283"/>
    <mergeCell ref="B269:F269"/>
    <mergeCell ref="B268:F268"/>
    <mergeCell ref="B273:F273"/>
    <mergeCell ref="B272:F272"/>
    <mergeCell ref="B271:F271"/>
    <mergeCell ref="B270:F270"/>
  </mergeCells>
  <hyperlinks>
    <hyperlink ref="B269" r:id="rId1" xr:uid="{18A9D0D5-32DE-4E54-B535-6C716D3461DE}"/>
    <hyperlink ref="B270" r:id="rId2" xr:uid="{BA853A86-5044-4DE3-AE59-D45880C77077}"/>
    <hyperlink ref="B271" r:id="rId3" xr:uid="{35C710F5-74FD-4A55-9D02-CEA41F346E58}"/>
    <hyperlink ref="B272" r:id="rId4" xr:uid="{47F40768-3B87-4BB8-BD32-56B8C778DA35}"/>
    <hyperlink ref="B273" r:id="rId5" xr:uid="{49571FC3-4D7E-4664-940B-E267DDC97BDD}"/>
    <hyperlink ref="B274" r:id="rId6" xr:uid="{E34CC08A-E75C-48C5-9FE9-02CC86E1CE3F}"/>
    <hyperlink ref="B275" r:id="rId7" xr:uid="{208DFCBE-433F-4027-83DA-42D0FB2DCB99}"/>
    <hyperlink ref="B276" r:id="rId8" xr:uid="{7A23B554-CAF5-4DAC-A7B6-BAC75408AF65}"/>
    <hyperlink ref="B277" r:id="rId9" xr:uid="{D81C4E85-D966-4779-A121-94EDD0FEC6EF}"/>
    <hyperlink ref="B278" r:id="rId10" xr:uid="{5F3EAE85-E6D6-4569-A16F-B6B6EBB49917}"/>
    <hyperlink ref="B279" r:id="rId11" xr:uid="{C9F80FEF-03B1-414E-B344-28A6E83E421C}"/>
    <hyperlink ref="B280" r:id="rId12" xr:uid="{747516AD-5358-44E1-91C7-EB5F7ACB89BB}"/>
    <hyperlink ref="B281" r:id="rId13" xr:uid="{BA1123DB-4C9F-46C1-AC0E-D1019A31C6FF}"/>
    <hyperlink ref="B282" r:id="rId14" xr:uid="{F162C916-BCA8-46E5-8CAA-B95186F249C3}"/>
    <hyperlink ref="B283" r:id="rId15" xr:uid="{5DBD8FA6-B4E1-41A8-9964-120F951F5E31}"/>
    <hyperlink ref="B284" r:id="rId16" xr:uid="{980C274F-3A84-4739-B981-90A413C83551}"/>
    <hyperlink ref="B285" r:id="rId17" xr:uid="{6B009220-8C1B-4C9A-B254-C2EBF3EE9C90}"/>
    <hyperlink ref="B286" r:id="rId18" xr:uid="{A0D4FF5C-7A6A-4926-A104-3BBA29FA8C6F}"/>
    <hyperlink ref="B287" r:id="rId19" xr:uid="{7C0A0560-5BDE-4155-A9DD-4AF0584D3CF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05966-123A-4136-A8B8-66CC17739907}">
  <dimension ref="A1:T160"/>
  <sheetViews>
    <sheetView tabSelected="1" zoomScale="80" zoomScaleNormal="80" workbookViewId="0">
      <pane ySplit="1" topLeftCell="A113" activePane="bottomLeft" state="frozen"/>
      <selection pane="bottomLeft" activeCell="H114" sqref="H114"/>
    </sheetView>
  </sheetViews>
  <sheetFormatPr defaultRowHeight="14.4" x14ac:dyDescent="0.3"/>
  <cols>
    <col min="1" max="1" width="9.6640625" bestFit="1" customWidth="1"/>
    <col min="2" max="2" width="84" bestFit="1" customWidth="1"/>
    <col min="3" max="3" width="32.44140625" style="3" bestFit="1" customWidth="1"/>
    <col min="4" max="4" width="19.44140625" customWidth="1"/>
    <col min="5" max="5" width="23.33203125" style="3" customWidth="1"/>
    <col min="6" max="6" width="16" style="5" customWidth="1"/>
    <col min="7" max="7" width="6" customWidth="1"/>
    <col min="8" max="8" width="17.21875" style="5" bestFit="1" customWidth="1"/>
    <col min="9" max="9" width="4.88671875" customWidth="1"/>
    <col min="10" max="10" width="13" style="5" customWidth="1"/>
    <col min="11" max="11" width="4.88671875" customWidth="1"/>
    <col min="12" max="12" width="14.33203125" style="5" customWidth="1"/>
    <col min="13" max="13" width="7.88671875" customWidth="1"/>
    <col min="14" max="14" width="14.44140625" style="5" customWidth="1"/>
    <col min="15" max="15" width="4.88671875" style="3" customWidth="1"/>
    <col min="16" max="16" width="18.44140625" style="5" customWidth="1"/>
    <col min="17" max="17" width="4.88671875" style="3" customWidth="1"/>
    <col min="18" max="18" width="10.33203125" style="5" customWidth="1"/>
    <col min="19" max="19" width="4.88671875" style="3" customWidth="1"/>
    <col min="20" max="20" width="99.44140625" bestFit="1" customWidth="1"/>
  </cols>
  <sheetData>
    <row r="1" spans="1:20" s="2" customFormat="1" x14ac:dyDescent="0.3">
      <c r="A1" s="14" t="s">
        <v>677</v>
      </c>
      <c r="B1" s="15" t="s">
        <v>572</v>
      </c>
      <c r="C1" s="15" t="s">
        <v>0</v>
      </c>
      <c r="D1" s="15" t="s">
        <v>1317</v>
      </c>
      <c r="E1" s="15" t="s">
        <v>573</v>
      </c>
      <c r="F1" s="15" t="s">
        <v>574</v>
      </c>
      <c r="G1" s="15" t="s">
        <v>2</v>
      </c>
      <c r="H1" s="15" t="s">
        <v>1320</v>
      </c>
      <c r="I1" s="15" t="s">
        <v>2</v>
      </c>
      <c r="J1" s="15" t="s">
        <v>575</v>
      </c>
      <c r="K1" s="15" t="s">
        <v>2</v>
      </c>
      <c r="L1" s="15" t="s">
        <v>576</v>
      </c>
      <c r="M1" s="15" t="s">
        <v>2</v>
      </c>
      <c r="N1" s="15" t="s">
        <v>1301</v>
      </c>
      <c r="O1" s="15" t="s">
        <v>2</v>
      </c>
      <c r="P1" s="38" t="s">
        <v>1302</v>
      </c>
      <c r="Q1" s="38" t="s">
        <v>2</v>
      </c>
      <c r="R1" s="38" t="s">
        <v>1303</v>
      </c>
      <c r="S1" s="38" t="s">
        <v>2</v>
      </c>
      <c r="T1" s="16" t="s">
        <v>679</v>
      </c>
    </row>
    <row r="2" spans="1:20" x14ac:dyDescent="0.3">
      <c r="A2" s="17">
        <v>1</v>
      </c>
      <c r="B2" s="23" t="s">
        <v>578</v>
      </c>
      <c r="C2" s="6" t="s">
        <v>579</v>
      </c>
      <c r="D2" s="23" t="s">
        <v>580</v>
      </c>
      <c r="E2" s="6" t="s">
        <v>581</v>
      </c>
      <c r="F2" s="7" t="s">
        <v>13</v>
      </c>
      <c r="G2" s="23" t="s">
        <v>20</v>
      </c>
      <c r="H2" s="7">
        <f>ROUNDUP(501.676416,2)</f>
        <v>501.68</v>
      </c>
      <c r="I2" s="23" t="s">
        <v>582</v>
      </c>
      <c r="J2" s="7">
        <f>ROUNDUP(10012.8369549312,2)</f>
        <v>10012.84</v>
      </c>
      <c r="K2" s="23" t="s">
        <v>583</v>
      </c>
      <c r="L2" s="7">
        <f>ROUNDUP(260*0.3048^3,2)</f>
        <v>7.37</v>
      </c>
      <c r="M2" s="23" t="s">
        <v>884</v>
      </c>
      <c r="N2" s="7">
        <v>5</v>
      </c>
      <c r="O2" s="6" t="s">
        <v>12</v>
      </c>
      <c r="P2" s="42"/>
      <c r="Q2" s="39"/>
      <c r="R2" s="42"/>
      <c r="S2" s="39"/>
      <c r="T2" s="24" t="s">
        <v>584</v>
      </c>
    </row>
    <row r="3" spans="1:20" x14ac:dyDescent="0.3">
      <c r="A3" s="17">
        <v>2</v>
      </c>
      <c r="B3" s="23" t="s">
        <v>585</v>
      </c>
      <c r="C3" s="6" t="s">
        <v>1285</v>
      </c>
      <c r="D3" s="23" t="s">
        <v>580</v>
      </c>
      <c r="E3" s="6" t="s">
        <v>61</v>
      </c>
      <c r="F3" s="7" t="s">
        <v>13</v>
      </c>
      <c r="G3" s="23" t="s">
        <v>20</v>
      </c>
      <c r="H3" s="7">
        <v>30</v>
      </c>
      <c r="I3" s="23" t="s">
        <v>582</v>
      </c>
      <c r="J3" s="7" t="s">
        <v>13</v>
      </c>
      <c r="K3" s="23" t="s">
        <v>583</v>
      </c>
      <c r="L3" s="7">
        <f>ROUNDUP(63.57*0.3048^3,2)</f>
        <v>1.81</v>
      </c>
      <c r="M3" s="23" t="s">
        <v>884</v>
      </c>
      <c r="N3" s="7">
        <f>ROUNDUP(30/0.7457,2)</f>
        <v>40.239999999999995</v>
      </c>
      <c r="O3" s="6" t="s">
        <v>12</v>
      </c>
      <c r="P3" s="42"/>
      <c r="Q3" s="39"/>
      <c r="R3" s="42"/>
      <c r="S3" s="39"/>
      <c r="T3" s="24" t="s">
        <v>1293</v>
      </c>
    </row>
    <row r="4" spans="1:20" x14ac:dyDescent="0.3">
      <c r="A4" s="17">
        <v>3</v>
      </c>
      <c r="B4" s="23" t="s">
        <v>585</v>
      </c>
      <c r="C4" s="6" t="s">
        <v>1286</v>
      </c>
      <c r="D4" s="23" t="s">
        <v>580</v>
      </c>
      <c r="E4" s="6" t="s">
        <v>61</v>
      </c>
      <c r="F4" s="7" t="s">
        <v>13</v>
      </c>
      <c r="G4" s="23" t="s">
        <v>20</v>
      </c>
      <c r="H4" s="7">
        <v>25</v>
      </c>
      <c r="I4" s="23" t="s">
        <v>582</v>
      </c>
      <c r="J4" s="7" t="s">
        <v>13</v>
      </c>
      <c r="K4" s="23" t="s">
        <v>583</v>
      </c>
      <c r="L4" s="7" t="s">
        <v>13</v>
      </c>
      <c r="M4" s="23" t="s">
        <v>884</v>
      </c>
      <c r="N4" s="7">
        <v>40.239999999999995</v>
      </c>
      <c r="O4" s="6" t="s">
        <v>12</v>
      </c>
      <c r="P4" s="42"/>
      <c r="Q4" s="39"/>
      <c r="R4" s="42"/>
      <c r="S4" s="39"/>
      <c r="T4" s="24" t="s">
        <v>1293</v>
      </c>
    </row>
    <row r="5" spans="1:20" x14ac:dyDescent="0.3">
      <c r="A5" s="17">
        <v>4</v>
      </c>
      <c r="B5" s="23" t="s">
        <v>585</v>
      </c>
      <c r="C5" s="6" t="s">
        <v>1287</v>
      </c>
      <c r="D5" s="23" t="s">
        <v>580</v>
      </c>
      <c r="E5" s="6" t="s">
        <v>61</v>
      </c>
      <c r="F5" s="7" t="s">
        <v>13</v>
      </c>
      <c r="G5" s="23" t="s">
        <v>20</v>
      </c>
      <c r="H5" s="7">
        <v>35</v>
      </c>
      <c r="I5" s="23" t="s">
        <v>582</v>
      </c>
      <c r="J5" s="7" t="s">
        <v>13</v>
      </c>
      <c r="K5" s="23" t="s">
        <v>583</v>
      </c>
      <c r="L5" s="7" t="s">
        <v>13</v>
      </c>
      <c r="M5" s="23" t="s">
        <v>884</v>
      </c>
      <c r="N5" s="7">
        <v>40.239999999999995</v>
      </c>
      <c r="O5" s="6" t="s">
        <v>12</v>
      </c>
      <c r="P5" s="42"/>
      <c r="Q5" s="39"/>
      <c r="R5" s="42"/>
      <c r="S5" s="39"/>
      <c r="T5" s="24" t="s">
        <v>1293</v>
      </c>
    </row>
    <row r="6" spans="1:20" x14ac:dyDescent="0.3">
      <c r="A6" s="17">
        <v>5</v>
      </c>
      <c r="B6" s="23" t="s">
        <v>585</v>
      </c>
      <c r="C6" s="6" t="s">
        <v>1288</v>
      </c>
      <c r="D6" s="23" t="s">
        <v>580</v>
      </c>
      <c r="E6" s="6" t="s">
        <v>61</v>
      </c>
      <c r="F6" s="7" t="s">
        <v>13</v>
      </c>
      <c r="G6" s="23" t="s">
        <v>20</v>
      </c>
      <c r="H6" s="7">
        <v>40</v>
      </c>
      <c r="I6" s="23" t="s">
        <v>582</v>
      </c>
      <c r="J6" s="7" t="s">
        <v>13</v>
      </c>
      <c r="K6" s="23" t="s">
        <v>583</v>
      </c>
      <c r="L6" s="7" t="s">
        <v>13</v>
      </c>
      <c r="M6" s="23" t="s">
        <v>884</v>
      </c>
      <c r="N6" s="7">
        <v>40.239999999999995</v>
      </c>
      <c r="O6" s="6" t="s">
        <v>12</v>
      </c>
      <c r="P6" s="42"/>
      <c r="Q6" s="39"/>
      <c r="R6" s="42"/>
      <c r="S6" s="39"/>
      <c r="T6" s="24" t="s">
        <v>1293</v>
      </c>
    </row>
    <row r="7" spans="1:20" x14ac:dyDescent="0.3">
      <c r="A7" s="17">
        <v>6</v>
      </c>
      <c r="B7" s="23" t="s">
        <v>585</v>
      </c>
      <c r="C7" s="6" t="s">
        <v>1289</v>
      </c>
      <c r="D7" s="23" t="s">
        <v>580</v>
      </c>
      <c r="E7" s="6" t="s">
        <v>61</v>
      </c>
      <c r="F7" s="7" t="s">
        <v>13</v>
      </c>
      <c r="G7" s="23" t="s">
        <v>20</v>
      </c>
      <c r="H7" s="7">
        <v>45</v>
      </c>
      <c r="I7" s="23" t="s">
        <v>582</v>
      </c>
      <c r="J7" s="7" t="s">
        <v>13</v>
      </c>
      <c r="K7" s="23" t="s">
        <v>583</v>
      </c>
      <c r="L7" s="7" t="s">
        <v>13</v>
      </c>
      <c r="M7" s="23" t="s">
        <v>884</v>
      </c>
      <c r="N7" s="7">
        <v>40.239999999999995</v>
      </c>
      <c r="O7" s="6" t="s">
        <v>12</v>
      </c>
      <c r="P7" s="42"/>
      <c r="Q7" s="39"/>
      <c r="R7" s="42"/>
      <c r="S7" s="39"/>
      <c r="T7" s="24" t="s">
        <v>1293</v>
      </c>
    </row>
    <row r="8" spans="1:20" x14ac:dyDescent="0.3">
      <c r="A8" s="17">
        <v>7</v>
      </c>
      <c r="B8" s="23" t="s">
        <v>585</v>
      </c>
      <c r="C8" s="6" t="s">
        <v>1290</v>
      </c>
      <c r="D8" s="23" t="s">
        <v>580</v>
      </c>
      <c r="E8" s="6" t="s">
        <v>61</v>
      </c>
      <c r="F8" s="7" t="s">
        <v>13</v>
      </c>
      <c r="G8" s="23" t="s">
        <v>20</v>
      </c>
      <c r="H8" s="7">
        <v>50</v>
      </c>
      <c r="I8" s="23" t="s">
        <v>582</v>
      </c>
      <c r="J8" s="7" t="s">
        <v>13</v>
      </c>
      <c r="K8" s="23" t="s">
        <v>583</v>
      </c>
      <c r="L8" s="7" t="s">
        <v>13</v>
      </c>
      <c r="M8" s="23" t="s">
        <v>884</v>
      </c>
      <c r="N8" s="7">
        <v>40.239999999999995</v>
      </c>
      <c r="O8" s="6" t="s">
        <v>12</v>
      </c>
      <c r="P8" s="42"/>
      <c r="Q8" s="39"/>
      <c r="R8" s="42"/>
      <c r="S8" s="39"/>
      <c r="T8" s="24" t="s">
        <v>1293</v>
      </c>
    </row>
    <row r="9" spans="1:20" x14ac:dyDescent="0.3">
      <c r="A9" s="17">
        <v>8</v>
      </c>
      <c r="B9" s="23" t="s">
        <v>585</v>
      </c>
      <c r="C9" s="6" t="s">
        <v>1291</v>
      </c>
      <c r="D9" s="23" t="s">
        <v>580</v>
      </c>
      <c r="E9" s="6" t="s">
        <v>61</v>
      </c>
      <c r="F9" s="7" t="s">
        <v>13</v>
      </c>
      <c r="G9" s="23" t="s">
        <v>20</v>
      </c>
      <c r="H9" s="7">
        <v>55</v>
      </c>
      <c r="I9" s="23" t="s">
        <v>582</v>
      </c>
      <c r="J9" s="7" t="s">
        <v>13</v>
      </c>
      <c r="K9" s="23" t="s">
        <v>583</v>
      </c>
      <c r="L9" s="7" t="s">
        <v>13</v>
      </c>
      <c r="M9" s="23" t="s">
        <v>884</v>
      </c>
      <c r="N9" s="7">
        <v>40.239999999999995</v>
      </c>
      <c r="O9" s="6" t="s">
        <v>12</v>
      </c>
      <c r="P9" s="42"/>
      <c r="Q9" s="39"/>
      <c r="R9" s="42"/>
      <c r="S9" s="39"/>
      <c r="T9" s="24" t="s">
        <v>1293</v>
      </c>
    </row>
    <row r="10" spans="1:20" x14ac:dyDescent="0.3">
      <c r="A10" s="17">
        <v>9</v>
      </c>
      <c r="B10" s="23" t="s">
        <v>585</v>
      </c>
      <c r="C10" s="6" t="s">
        <v>1292</v>
      </c>
      <c r="D10" s="23" t="s">
        <v>580</v>
      </c>
      <c r="E10" s="6" t="s">
        <v>61</v>
      </c>
      <c r="F10" s="7" t="s">
        <v>13</v>
      </c>
      <c r="G10" s="23" t="s">
        <v>20</v>
      </c>
      <c r="H10" s="7">
        <v>60</v>
      </c>
      <c r="I10" s="23" t="s">
        <v>582</v>
      </c>
      <c r="J10" s="7" t="s">
        <v>13</v>
      </c>
      <c r="K10" s="23" t="s">
        <v>583</v>
      </c>
      <c r="L10" s="7" t="s">
        <v>13</v>
      </c>
      <c r="M10" s="23" t="s">
        <v>884</v>
      </c>
      <c r="N10" s="7">
        <v>40.239999999999995</v>
      </c>
      <c r="O10" s="6" t="s">
        <v>12</v>
      </c>
      <c r="P10" s="42"/>
      <c r="Q10" s="39"/>
      <c r="R10" s="42"/>
      <c r="S10" s="39"/>
      <c r="T10" s="24" t="s">
        <v>1293</v>
      </c>
    </row>
    <row r="11" spans="1:20" x14ac:dyDescent="0.3">
      <c r="A11" s="17">
        <v>10</v>
      </c>
      <c r="B11" s="23" t="s">
        <v>586</v>
      </c>
      <c r="C11" s="6" t="s">
        <v>587</v>
      </c>
      <c r="D11" s="23" t="s">
        <v>580</v>
      </c>
      <c r="E11" s="6" t="s">
        <v>581</v>
      </c>
      <c r="F11" s="7" t="s">
        <v>13</v>
      </c>
      <c r="G11" s="23" t="s">
        <v>20</v>
      </c>
      <c r="H11" s="7">
        <f>ROUNDUP(26.75607552,2)</f>
        <v>26.76</v>
      </c>
      <c r="I11" s="23" t="s">
        <v>582</v>
      </c>
      <c r="J11" s="7" t="s">
        <v>13</v>
      </c>
      <c r="K11" s="23" t="s">
        <v>583</v>
      </c>
      <c r="L11" s="7" t="s">
        <v>13</v>
      </c>
      <c r="M11" s="23" t="s">
        <v>884</v>
      </c>
      <c r="N11" s="7">
        <v>2</v>
      </c>
      <c r="O11" s="6" t="s">
        <v>12</v>
      </c>
      <c r="P11" s="42"/>
      <c r="Q11" s="39"/>
      <c r="R11" s="42"/>
      <c r="S11" s="39"/>
      <c r="T11" s="24" t="s">
        <v>588</v>
      </c>
    </row>
    <row r="12" spans="1:20" x14ac:dyDescent="0.3">
      <c r="A12" s="17">
        <v>11</v>
      </c>
      <c r="B12" s="23" t="s">
        <v>589</v>
      </c>
      <c r="C12" s="6" t="s">
        <v>590</v>
      </c>
      <c r="D12" s="23" t="s">
        <v>591</v>
      </c>
      <c r="E12" s="6" t="s">
        <v>61</v>
      </c>
      <c r="F12" s="7" t="s">
        <v>13</v>
      </c>
      <c r="G12" s="23" t="s">
        <v>20</v>
      </c>
      <c r="H12" s="23">
        <v>58.37</v>
      </c>
      <c r="I12" s="23" t="s">
        <v>582</v>
      </c>
      <c r="J12" s="7" t="s">
        <v>13</v>
      </c>
      <c r="K12" s="23" t="s">
        <v>583</v>
      </c>
      <c r="L12" s="7" t="s">
        <v>13</v>
      </c>
      <c r="M12" s="23" t="s">
        <v>884</v>
      </c>
      <c r="N12" s="23">
        <v>200</v>
      </c>
      <c r="O12" s="6" t="s">
        <v>12</v>
      </c>
      <c r="P12" s="42"/>
      <c r="Q12" s="39"/>
      <c r="R12" s="42"/>
      <c r="S12" s="39"/>
      <c r="T12" s="24" t="s">
        <v>592</v>
      </c>
    </row>
    <row r="13" spans="1:20" x14ac:dyDescent="0.3">
      <c r="A13" s="17">
        <v>12</v>
      </c>
      <c r="B13" s="23" t="s">
        <v>593</v>
      </c>
      <c r="C13" s="6" t="s">
        <v>594</v>
      </c>
      <c r="D13" s="23" t="s">
        <v>591</v>
      </c>
      <c r="E13" s="6" t="s">
        <v>61</v>
      </c>
      <c r="F13" s="7" t="s">
        <v>13</v>
      </c>
      <c r="G13" s="23" t="s">
        <v>20</v>
      </c>
      <c r="H13" s="23">
        <v>23.35</v>
      </c>
      <c r="I13" s="23" t="s">
        <v>582</v>
      </c>
      <c r="J13" s="7" t="s">
        <v>13</v>
      </c>
      <c r="K13" s="23" t="s">
        <v>583</v>
      </c>
      <c r="L13" s="7" t="s">
        <v>13</v>
      </c>
      <c r="M13" s="23" t="s">
        <v>884</v>
      </c>
      <c r="N13" s="23">
        <v>104.75</v>
      </c>
      <c r="O13" s="6" t="s">
        <v>12</v>
      </c>
      <c r="P13" s="42"/>
      <c r="Q13" s="39"/>
      <c r="R13" s="42"/>
      <c r="S13" s="39"/>
      <c r="T13" s="24" t="s">
        <v>1294</v>
      </c>
    </row>
    <row r="14" spans="1:20" x14ac:dyDescent="0.3">
      <c r="A14" s="17">
        <v>13</v>
      </c>
      <c r="B14" s="23" t="s">
        <v>595</v>
      </c>
      <c r="C14" s="6" t="s">
        <v>596</v>
      </c>
      <c r="D14" s="23" t="s">
        <v>591</v>
      </c>
      <c r="E14" s="6" t="s">
        <v>52</v>
      </c>
      <c r="F14" s="7" t="s">
        <v>13</v>
      </c>
      <c r="G14" s="23" t="s">
        <v>20</v>
      </c>
      <c r="H14" s="23">
        <v>10</v>
      </c>
      <c r="I14" s="23" t="s">
        <v>582</v>
      </c>
      <c r="J14" s="7" t="s">
        <v>13</v>
      </c>
      <c r="K14" s="23" t="s">
        <v>583</v>
      </c>
      <c r="L14" s="7" t="s">
        <v>13</v>
      </c>
      <c r="M14" s="23" t="s">
        <v>884</v>
      </c>
      <c r="N14" s="23">
        <v>50</v>
      </c>
      <c r="O14" s="6" t="s">
        <v>12</v>
      </c>
      <c r="P14" s="42"/>
      <c r="Q14" s="39"/>
      <c r="R14" s="42"/>
      <c r="S14" s="39"/>
      <c r="T14" s="24" t="s">
        <v>597</v>
      </c>
    </row>
    <row r="15" spans="1:20" x14ac:dyDescent="0.3">
      <c r="A15" s="17">
        <v>14</v>
      </c>
      <c r="B15" s="23" t="s">
        <v>599</v>
      </c>
      <c r="C15" s="45" t="s">
        <v>599</v>
      </c>
      <c r="D15" s="23" t="s">
        <v>600</v>
      </c>
      <c r="E15" s="6" t="s">
        <v>13</v>
      </c>
      <c r="F15" s="7" t="s">
        <v>13</v>
      </c>
      <c r="G15" s="23" t="s">
        <v>20</v>
      </c>
      <c r="H15" s="7">
        <v>7.0000000000000007E-2</v>
      </c>
      <c r="I15" s="23" t="s">
        <v>582</v>
      </c>
      <c r="J15" s="7">
        <v>8</v>
      </c>
      <c r="K15" s="23" t="s">
        <v>583</v>
      </c>
      <c r="L15" s="7" t="s">
        <v>13</v>
      </c>
      <c r="M15" s="23" t="s">
        <v>884</v>
      </c>
      <c r="N15" s="7">
        <v>2.0199999999999996</v>
      </c>
      <c r="O15" s="6" t="s">
        <v>12</v>
      </c>
      <c r="P15" s="42" t="s">
        <v>20</v>
      </c>
      <c r="Q15" s="39" t="s">
        <v>20</v>
      </c>
      <c r="R15" s="42" t="s">
        <v>20</v>
      </c>
      <c r="S15" s="39" t="s">
        <v>20</v>
      </c>
      <c r="T15" s="24" t="s">
        <v>601</v>
      </c>
    </row>
    <row r="16" spans="1:20" x14ac:dyDescent="0.3">
      <c r="A16" s="17">
        <v>15</v>
      </c>
      <c r="B16" s="23" t="s">
        <v>602</v>
      </c>
      <c r="C16" s="45" t="s">
        <v>602</v>
      </c>
      <c r="D16" s="23" t="s">
        <v>600</v>
      </c>
      <c r="E16" s="6" t="s">
        <v>13</v>
      </c>
      <c r="F16" s="7" t="s">
        <v>13</v>
      </c>
      <c r="G16" s="23" t="s">
        <v>20</v>
      </c>
      <c r="H16" s="7">
        <v>0.2</v>
      </c>
      <c r="I16" s="23" t="s">
        <v>582</v>
      </c>
      <c r="J16" s="7">
        <v>30</v>
      </c>
      <c r="K16" s="23" t="s">
        <v>583</v>
      </c>
      <c r="L16" s="7" t="s">
        <v>13</v>
      </c>
      <c r="M16" s="23" t="s">
        <v>884</v>
      </c>
      <c r="N16" s="7">
        <v>2.96</v>
      </c>
      <c r="O16" s="6" t="s">
        <v>12</v>
      </c>
      <c r="P16" s="42" t="s">
        <v>20</v>
      </c>
      <c r="Q16" s="39" t="s">
        <v>20</v>
      </c>
      <c r="R16" s="42" t="s">
        <v>20</v>
      </c>
      <c r="S16" s="39" t="s">
        <v>20</v>
      </c>
      <c r="T16" s="24" t="s">
        <v>601</v>
      </c>
    </row>
    <row r="17" spans="1:20" x14ac:dyDescent="0.3">
      <c r="A17" s="17">
        <v>16</v>
      </c>
      <c r="B17" s="23" t="s">
        <v>603</v>
      </c>
      <c r="C17" s="45" t="s">
        <v>603</v>
      </c>
      <c r="D17" s="23" t="s">
        <v>600</v>
      </c>
      <c r="E17" s="6" t="s">
        <v>13</v>
      </c>
      <c r="F17" s="7" t="s">
        <v>13</v>
      </c>
      <c r="G17" s="23" t="s">
        <v>20</v>
      </c>
      <c r="H17" s="7">
        <v>0.3</v>
      </c>
      <c r="I17" s="23" t="s">
        <v>582</v>
      </c>
      <c r="J17" s="7">
        <v>42</v>
      </c>
      <c r="K17" s="23" t="s">
        <v>583</v>
      </c>
      <c r="L17" s="7" t="s">
        <v>13</v>
      </c>
      <c r="M17" s="23" t="s">
        <v>884</v>
      </c>
      <c r="N17" s="7">
        <v>4.0299999999999994</v>
      </c>
      <c r="O17" s="6" t="s">
        <v>12</v>
      </c>
      <c r="P17" s="42" t="s">
        <v>20</v>
      </c>
      <c r="Q17" s="39" t="s">
        <v>20</v>
      </c>
      <c r="R17" s="42" t="s">
        <v>20</v>
      </c>
      <c r="S17" s="39" t="s">
        <v>20</v>
      </c>
      <c r="T17" s="24" t="s">
        <v>601</v>
      </c>
    </row>
    <row r="18" spans="1:20" x14ac:dyDescent="0.3">
      <c r="A18" s="17">
        <v>17</v>
      </c>
      <c r="B18" s="23" t="s">
        <v>604</v>
      </c>
      <c r="C18" s="45" t="s">
        <v>604</v>
      </c>
      <c r="D18" s="23" t="s">
        <v>600</v>
      </c>
      <c r="E18" s="6" t="s">
        <v>13</v>
      </c>
      <c r="F18" s="7" t="s">
        <v>13</v>
      </c>
      <c r="G18" s="23" t="s">
        <v>20</v>
      </c>
      <c r="H18" s="7">
        <v>0.5</v>
      </c>
      <c r="I18" s="23" t="s">
        <v>582</v>
      </c>
      <c r="J18" s="7">
        <v>150</v>
      </c>
      <c r="K18" s="23" t="s">
        <v>583</v>
      </c>
      <c r="L18" s="7" t="s">
        <v>13</v>
      </c>
      <c r="M18" s="23" t="s">
        <v>884</v>
      </c>
      <c r="N18" s="7">
        <v>7.38</v>
      </c>
      <c r="O18" s="6" t="s">
        <v>12</v>
      </c>
      <c r="P18" s="7" t="s">
        <v>20</v>
      </c>
      <c r="Q18" s="6" t="s">
        <v>20</v>
      </c>
      <c r="R18" s="7" t="s">
        <v>20</v>
      </c>
      <c r="S18" s="6" t="s">
        <v>20</v>
      </c>
      <c r="T18" s="24" t="s">
        <v>601</v>
      </c>
    </row>
    <row r="19" spans="1:20" x14ac:dyDescent="0.3">
      <c r="A19" s="17">
        <v>18</v>
      </c>
      <c r="B19" s="23" t="s">
        <v>605</v>
      </c>
      <c r="C19" s="45" t="s">
        <v>605</v>
      </c>
      <c r="D19" s="23" t="s">
        <v>600</v>
      </c>
      <c r="E19" s="6" t="s">
        <v>13</v>
      </c>
      <c r="F19" s="7" t="s">
        <v>13</v>
      </c>
      <c r="G19" s="23" t="s">
        <v>20</v>
      </c>
      <c r="H19" s="7">
        <v>0.8</v>
      </c>
      <c r="I19" s="23" t="s">
        <v>582</v>
      </c>
      <c r="J19" s="7">
        <v>240</v>
      </c>
      <c r="K19" s="23" t="s">
        <v>583</v>
      </c>
      <c r="L19" s="7" t="s">
        <v>13</v>
      </c>
      <c r="M19" s="23" t="s">
        <v>884</v>
      </c>
      <c r="N19" s="7">
        <v>7.38</v>
      </c>
      <c r="O19" s="6" t="s">
        <v>12</v>
      </c>
      <c r="P19" s="42" t="s">
        <v>20</v>
      </c>
      <c r="Q19" s="39" t="s">
        <v>20</v>
      </c>
      <c r="R19" s="42" t="s">
        <v>20</v>
      </c>
      <c r="S19" s="39" t="s">
        <v>20</v>
      </c>
      <c r="T19" s="24" t="s">
        <v>601</v>
      </c>
    </row>
    <row r="20" spans="1:20" x14ac:dyDescent="0.3">
      <c r="A20" s="17">
        <v>19</v>
      </c>
      <c r="B20" s="23" t="s">
        <v>606</v>
      </c>
      <c r="C20" s="45" t="s">
        <v>606</v>
      </c>
      <c r="D20" s="23" t="s">
        <v>600</v>
      </c>
      <c r="E20" s="6" t="s">
        <v>13</v>
      </c>
      <c r="F20" s="7" t="s">
        <v>13</v>
      </c>
      <c r="G20" s="23" t="s">
        <v>20</v>
      </c>
      <c r="H20" s="7">
        <v>1</v>
      </c>
      <c r="I20" s="23" t="s">
        <v>582</v>
      </c>
      <c r="J20" s="7">
        <v>300</v>
      </c>
      <c r="K20" s="23" t="s">
        <v>583</v>
      </c>
      <c r="L20" s="7" t="s">
        <v>13</v>
      </c>
      <c r="M20" s="23" t="s">
        <v>884</v>
      </c>
      <c r="N20" s="7">
        <v>10.06</v>
      </c>
      <c r="O20" s="6" t="s">
        <v>12</v>
      </c>
      <c r="P20" s="42" t="s">
        <v>20</v>
      </c>
      <c r="Q20" s="39" t="s">
        <v>20</v>
      </c>
      <c r="R20" s="42" t="s">
        <v>20</v>
      </c>
      <c r="S20" s="39" t="s">
        <v>20</v>
      </c>
      <c r="T20" s="24" t="s">
        <v>601</v>
      </c>
    </row>
    <row r="21" spans="1:20" x14ac:dyDescent="0.3">
      <c r="A21" s="17">
        <v>20</v>
      </c>
      <c r="B21" s="23" t="s">
        <v>607</v>
      </c>
      <c r="C21" s="45" t="s">
        <v>607</v>
      </c>
      <c r="D21" s="23" t="s">
        <v>600</v>
      </c>
      <c r="E21" s="6" t="s">
        <v>13</v>
      </c>
      <c r="F21" s="7" t="s">
        <v>13</v>
      </c>
      <c r="G21" s="23" t="s">
        <v>20</v>
      </c>
      <c r="H21" s="7">
        <v>1.5</v>
      </c>
      <c r="I21" s="23" t="s">
        <v>582</v>
      </c>
      <c r="J21" s="7">
        <v>500</v>
      </c>
      <c r="K21" s="23" t="s">
        <v>583</v>
      </c>
      <c r="L21" s="7" t="s">
        <v>13</v>
      </c>
      <c r="M21" s="23" t="s">
        <v>884</v>
      </c>
      <c r="N21" s="7">
        <v>14.76</v>
      </c>
      <c r="O21" s="6" t="s">
        <v>12</v>
      </c>
      <c r="P21" s="42" t="s">
        <v>20</v>
      </c>
      <c r="Q21" s="39" t="s">
        <v>20</v>
      </c>
      <c r="R21" s="42" t="s">
        <v>20</v>
      </c>
      <c r="S21" s="39" t="s">
        <v>20</v>
      </c>
      <c r="T21" s="24" t="s">
        <v>601</v>
      </c>
    </row>
    <row r="22" spans="1:20" x14ac:dyDescent="0.3">
      <c r="A22" s="17">
        <v>21</v>
      </c>
      <c r="B22" s="23" t="s">
        <v>608</v>
      </c>
      <c r="C22" s="45" t="s">
        <v>608</v>
      </c>
      <c r="D22" s="23" t="s">
        <v>600</v>
      </c>
      <c r="E22" s="6" t="s">
        <v>13</v>
      </c>
      <c r="F22" s="7" t="s">
        <v>13</v>
      </c>
      <c r="G22" s="23" t="s">
        <v>20</v>
      </c>
      <c r="H22" s="7">
        <v>2</v>
      </c>
      <c r="I22" s="23" t="s">
        <v>582</v>
      </c>
      <c r="J22" s="7">
        <v>800</v>
      </c>
      <c r="K22" s="23" t="s">
        <v>583</v>
      </c>
      <c r="L22" s="7" t="s">
        <v>13</v>
      </c>
      <c r="M22" s="23" t="s">
        <v>884</v>
      </c>
      <c r="N22" s="7">
        <v>14.76</v>
      </c>
      <c r="O22" s="6" t="s">
        <v>12</v>
      </c>
      <c r="P22" s="42" t="s">
        <v>20</v>
      </c>
      <c r="Q22" s="39" t="s">
        <v>20</v>
      </c>
      <c r="R22" s="42" t="s">
        <v>20</v>
      </c>
      <c r="S22" s="39" t="s">
        <v>20</v>
      </c>
      <c r="T22" s="24" t="s">
        <v>601</v>
      </c>
    </row>
    <row r="23" spans="1:20" x14ac:dyDescent="0.3">
      <c r="A23" s="17">
        <v>22</v>
      </c>
      <c r="B23" s="23" t="s">
        <v>609</v>
      </c>
      <c r="C23" s="45" t="s">
        <v>609</v>
      </c>
      <c r="D23" s="23" t="s">
        <v>600</v>
      </c>
      <c r="E23" s="6" t="s">
        <v>13</v>
      </c>
      <c r="F23" s="7" t="s">
        <v>13</v>
      </c>
      <c r="G23" s="23" t="s">
        <v>20</v>
      </c>
      <c r="H23" s="7">
        <v>2.5</v>
      </c>
      <c r="I23" s="23" t="s">
        <v>582</v>
      </c>
      <c r="J23" s="7">
        <v>1300</v>
      </c>
      <c r="K23" s="23" t="s">
        <v>583</v>
      </c>
      <c r="L23" s="7" t="s">
        <v>13</v>
      </c>
      <c r="M23" s="23" t="s">
        <v>884</v>
      </c>
      <c r="N23" s="7">
        <v>20.12</v>
      </c>
      <c r="O23" s="6" t="s">
        <v>12</v>
      </c>
      <c r="P23" s="42" t="s">
        <v>20</v>
      </c>
      <c r="Q23" s="39" t="s">
        <v>20</v>
      </c>
      <c r="R23" s="42" t="s">
        <v>20</v>
      </c>
      <c r="S23" s="39" t="s">
        <v>20</v>
      </c>
      <c r="T23" s="24" t="s">
        <v>601</v>
      </c>
    </row>
    <row r="24" spans="1:20" x14ac:dyDescent="0.3">
      <c r="A24" s="17">
        <v>23</v>
      </c>
      <c r="B24" s="23" t="s">
        <v>610</v>
      </c>
      <c r="C24" s="45" t="s">
        <v>610</v>
      </c>
      <c r="D24" s="23" t="s">
        <v>600</v>
      </c>
      <c r="E24" s="6" t="s">
        <v>13</v>
      </c>
      <c r="F24" s="7" t="s">
        <v>13</v>
      </c>
      <c r="G24" s="23" t="s">
        <v>20</v>
      </c>
      <c r="H24" s="7">
        <v>3</v>
      </c>
      <c r="I24" s="23" t="s">
        <v>582</v>
      </c>
      <c r="J24" s="7">
        <v>1500</v>
      </c>
      <c r="K24" s="23" t="s">
        <v>583</v>
      </c>
      <c r="L24" s="7" t="s">
        <v>13</v>
      </c>
      <c r="M24" s="23" t="s">
        <v>884</v>
      </c>
      <c r="N24" s="7">
        <v>24.81</v>
      </c>
      <c r="O24" s="6" t="s">
        <v>12</v>
      </c>
      <c r="P24" s="42" t="s">
        <v>20</v>
      </c>
      <c r="Q24" s="39" t="s">
        <v>20</v>
      </c>
      <c r="R24" s="42" t="s">
        <v>20</v>
      </c>
      <c r="S24" s="39" t="s">
        <v>20</v>
      </c>
      <c r="T24" s="24" t="s">
        <v>601</v>
      </c>
    </row>
    <row r="25" spans="1:20" x14ac:dyDescent="0.3">
      <c r="A25" s="17">
        <v>24</v>
      </c>
      <c r="B25" s="23" t="s">
        <v>611</v>
      </c>
      <c r="C25" s="45" t="s">
        <v>611</v>
      </c>
      <c r="D25" s="23" t="s">
        <v>600</v>
      </c>
      <c r="E25" s="6" t="s">
        <v>13</v>
      </c>
      <c r="F25" s="7" t="s">
        <v>13</v>
      </c>
      <c r="G25" s="23" t="s">
        <v>20</v>
      </c>
      <c r="H25" s="7">
        <v>4</v>
      </c>
      <c r="I25" s="23" t="s">
        <v>582</v>
      </c>
      <c r="J25" s="7">
        <v>2000</v>
      </c>
      <c r="K25" s="23" t="s">
        <v>583</v>
      </c>
      <c r="L25" s="7" t="s">
        <v>13</v>
      </c>
      <c r="M25" s="23" t="s">
        <v>884</v>
      </c>
      <c r="N25" s="7">
        <v>24.810000000000002</v>
      </c>
      <c r="O25" s="6" t="s">
        <v>12</v>
      </c>
      <c r="P25" s="7" t="s">
        <v>20</v>
      </c>
      <c r="Q25" s="6" t="s">
        <v>20</v>
      </c>
      <c r="R25" s="42" t="s">
        <v>20</v>
      </c>
      <c r="S25" s="39" t="s">
        <v>20</v>
      </c>
      <c r="T25" s="24" t="s">
        <v>601</v>
      </c>
    </row>
    <row r="26" spans="1:20" x14ac:dyDescent="0.3">
      <c r="A26" s="17">
        <v>25</v>
      </c>
      <c r="B26" s="23" t="s">
        <v>612</v>
      </c>
      <c r="C26" s="45" t="s">
        <v>612</v>
      </c>
      <c r="D26" s="23" t="s">
        <v>600</v>
      </c>
      <c r="E26" s="6" t="s">
        <v>13</v>
      </c>
      <c r="F26" s="7" t="s">
        <v>13</v>
      </c>
      <c r="G26" s="23" t="s">
        <v>20</v>
      </c>
      <c r="H26" s="7">
        <v>5</v>
      </c>
      <c r="I26" s="23" t="s">
        <v>582</v>
      </c>
      <c r="J26" s="7">
        <v>2500</v>
      </c>
      <c r="K26" s="23" t="s">
        <v>583</v>
      </c>
      <c r="L26" s="7" t="s">
        <v>13</v>
      </c>
      <c r="M26" s="23" t="s">
        <v>884</v>
      </c>
      <c r="N26" s="7">
        <v>29.51</v>
      </c>
      <c r="O26" s="6" t="s">
        <v>12</v>
      </c>
      <c r="P26" s="42" t="s">
        <v>20</v>
      </c>
      <c r="Q26" s="39" t="s">
        <v>20</v>
      </c>
      <c r="R26" s="42" t="s">
        <v>20</v>
      </c>
      <c r="S26" s="39" t="s">
        <v>20</v>
      </c>
      <c r="T26" s="24" t="s">
        <v>601</v>
      </c>
    </row>
    <row r="27" spans="1:20" x14ac:dyDescent="0.3">
      <c r="A27" s="17">
        <v>26</v>
      </c>
      <c r="B27" s="23" t="s">
        <v>613</v>
      </c>
      <c r="C27" s="45" t="s">
        <v>613</v>
      </c>
      <c r="D27" s="23" t="s">
        <v>600</v>
      </c>
      <c r="E27" s="6" t="s">
        <v>13</v>
      </c>
      <c r="F27" s="7" t="s">
        <v>13</v>
      </c>
      <c r="G27" s="23" t="s">
        <v>20</v>
      </c>
      <c r="H27" s="7">
        <v>6</v>
      </c>
      <c r="I27" s="23" t="s">
        <v>582</v>
      </c>
      <c r="J27" s="7">
        <v>3000</v>
      </c>
      <c r="K27" s="23" t="s">
        <v>583</v>
      </c>
      <c r="L27" s="7" t="s">
        <v>13</v>
      </c>
      <c r="M27" s="23" t="s">
        <v>884</v>
      </c>
      <c r="N27" s="7">
        <v>29.51</v>
      </c>
      <c r="O27" s="6" t="s">
        <v>12</v>
      </c>
      <c r="P27" s="42" t="s">
        <v>20</v>
      </c>
      <c r="Q27" s="39" t="s">
        <v>20</v>
      </c>
      <c r="R27" s="42" t="s">
        <v>20</v>
      </c>
      <c r="S27" s="39" t="s">
        <v>20</v>
      </c>
      <c r="T27" s="24" t="s">
        <v>601</v>
      </c>
    </row>
    <row r="28" spans="1:20" x14ac:dyDescent="0.3">
      <c r="A28" s="17">
        <v>27</v>
      </c>
      <c r="B28" s="23" t="s">
        <v>614</v>
      </c>
      <c r="C28" s="45" t="s">
        <v>614</v>
      </c>
      <c r="D28" s="23" t="s">
        <v>600</v>
      </c>
      <c r="E28" s="6" t="s">
        <v>13</v>
      </c>
      <c r="F28" s="7" t="s">
        <v>13</v>
      </c>
      <c r="G28" s="23" t="s">
        <v>20</v>
      </c>
      <c r="H28" s="7">
        <v>7</v>
      </c>
      <c r="I28" s="23" t="s">
        <v>582</v>
      </c>
      <c r="J28" s="7">
        <v>3500</v>
      </c>
      <c r="K28" s="23" t="s">
        <v>583</v>
      </c>
      <c r="L28" s="7" t="s">
        <v>13</v>
      </c>
      <c r="M28" s="23" t="s">
        <v>884</v>
      </c>
      <c r="N28" s="7">
        <v>40.239999999999995</v>
      </c>
      <c r="O28" s="6" t="s">
        <v>12</v>
      </c>
      <c r="P28" s="42" t="s">
        <v>20</v>
      </c>
      <c r="Q28" s="39" t="s">
        <v>20</v>
      </c>
      <c r="R28" s="42" t="s">
        <v>20</v>
      </c>
      <c r="S28" s="39" t="s">
        <v>20</v>
      </c>
      <c r="T28" s="24" t="s">
        <v>601</v>
      </c>
    </row>
    <row r="29" spans="1:20" x14ac:dyDescent="0.3">
      <c r="A29" s="17">
        <v>28</v>
      </c>
      <c r="B29" s="23" t="s">
        <v>615</v>
      </c>
      <c r="C29" s="6" t="s">
        <v>615</v>
      </c>
      <c r="D29" s="23" t="s">
        <v>580</v>
      </c>
      <c r="E29" s="6" t="s">
        <v>616</v>
      </c>
      <c r="F29" s="7" t="s">
        <v>13</v>
      </c>
      <c r="G29" s="23" t="s">
        <v>20</v>
      </c>
      <c r="H29" s="7">
        <v>30</v>
      </c>
      <c r="I29" s="23" t="s">
        <v>582</v>
      </c>
      <c r="J29" s="7" t="s">
        <v>13</v>
      </c>
      <c r="K29" s="23" t="s">
        <v>583</v>
      </c>
      <c r="L29" s="7" t="s">
        <v>13</v>
      </c>
      <c r="M29" s="23" t="s">
        <v>884</v>
      </c>
      <c r="N29" s="7">
        <v>2.96</v>
      </c>
      <c r="O29" s="6" t="s">
        <v>12</v>
      </c>
      <c r="P29" s="42"/>
      <c r="Q29" s="39"/>
      <c r="R29" s="42"/>
      <c r="S29" s="39"/>
      <c r="T29" s="24" t="s">
        <v>1295</v>
      </c>
    </row>
    <row r="30" spans="1:20" x14ac:dyDescent="0.3">
      <c r="A30" s="17">
        <v>29</v>
      </c>
      <c r="B30" s="23" t="s">
        <v>617</v>
      </c>
      <c r="C30" s="6" t="s">
        <v>617</v>
      </c>
      <c r="D30" s="23" t="s">
        <v>580</v>
      </c>
      <c r="E30" s="6" t="s">
        <v>616</v>
      </c>
      <c r="F30" s="7" t="s">
        <v>13</v>
      </c>
      <c r="G30" s="23" t="s">
        <v>20</v>
      </c>
      <c r="H30" s="7">
        <v>40</v>
      </c>
      <c r="I30" s="23" t="s">
        <v>582</v>
      </c>
      <c r="J30" s="7" t="s">
        <v>13</v>
      </c>
      <c r="K30" s="23" t="s">
        <v>583</v>
      </c>
      <c r="L30" s="7" t="s">
        <v>13</v>
      </c>
      <c r="M30" s="23" t="s">
        <v>884</v>
      </c>
      <c r="N30" s="7">
        <v>2.96</v>
      </c>
      <c r="O30" s="6" t="s">
        <v>12</v>
      </c>
      <c r="P30" s="7"/>
      <c r="Q30" s="6"/>
      <c r="R30" s="42"/>
      <c r="S30" s="39"/>
      <c r="T30" s="24" t="s">
        <v>1295</v>
      </c>
    </row>
    <row r="31" spans="1:20" x14ac:dyDescent="0.3">
      <c r="A31" s="17">
        <v>30</v>
      </c>
      <c r="B31" s="23" t="s">
        <v>618</v>
      </c>
      <c r="C31" s="6" t="s">
        <v>618</v>
      </c>
      <c r="D31" s="23" t="s">
        <v>580</v>
      </c>
      <c r="E31" s="6" t="s">
        <v>616</v>
      </c>
      <c r="F31" s="7" t="s">
        <v>13</v>
      </c>
      <c r="G31" s="23" t="s">
        <v>20</v>
      </c>
      <c r="H31" s="7">
        <v>50</v>
      </c>
      <c r="I31" s="23" t="s">
        <v>582</v>
      </c>
      <c r="J31" s="7" t="s">
        <v>13</v>
      </c>
      <c r="K31" s="23" t="s">
        <v>583</v>
      </c>
      <c r="L31" s="7" t="s">
        <v>13</v>
      </c>
      <c r="M31" s="23" t="s">
        <v>884</v>
      </c>
      <c r="N31" s="7">
        <v>2.96</v>
      </c>
      <c r="O31" s="6" t="s">
        <v>12</v>
      </c>
      <c r="P31" s="7"/>
      <c r="Q31" s="39"/>
      <c r="R31" s="42"/>
      <c r="S31" s="39"/>
      <c r="T31" s="24" t="s">
        <v>1295</v>
      </c>
    </row>
    <row r="32" spans="1:20" x14ac:dyDescent="0.3">
      <c r="A32" s="17">
        <v>31</v>
      </c>
      <c r="B32" s="23" t="s">
        <v>619</v>
      </c>
      <c r="C32" s="6" t="s">
        <v>619</v>
      </c>
      <c r="D32" s="23" t="s">
        <v>580</v>
      </c>
      <c r="E32" s="6" t="s">
        <v>616</v>
      </c>
      <c r="F32" s="7" t="s">
        <v>13</v>
      </c>
      <c r="G32" s="23" t="s">
        <v>20</v>
      </c>
      <c r="H32" s="7">
        <v>60</v>
      </c>
      <c r="I32" s="23" t="s">
        <v>582</v>
      </c>
      <c r="J32" s="7" t="s">
        <v>13</v>
      </c>
      <c r="K32" s="23" t="s">
        <v>583</v>
      </c>
      <c r="L32" s="7" t="s">
        <v>13</v>
      </c>
      <c r="M32" s="23" t="s">
        <v>884</v>
      </c>
      <c r="N32" s="7">
        <v>2.96</v>
      </c>
      <c r="O32" s="6" t="s">
        <v>12</v>
      </c>
      <c r="P32" s="42"/>
      <c r="Q32" s="39"/>
      <c r="R32" s="42"/>
      <c r="S32" s="39"/>
      <c r="T32" s="24" t="s">
        <v>1295</v>
      </c>
    </row>
    <row r="33" spans="1:20" x14ac:dyDescent="0.3">
      <c r="A33" s="17">
        <v>32</v>
      </c>
      <c r="B33" s="23" t="s">
        <v>620</v>
      </c>
      <c r="C33" s="6" t="s">
        <v>620</v>
      </c>
      <c r="D33" s="23" t="s">
        <v>580</v>
      </c>
      <c r="E33" s="6" t="s">
        <v>616</v>
      </c>
      <c r="F33" s="7" t="s">
        <v>13</v>
      </c>
      <c r="G33" s="23" t="s">
        <v>20</v>
      </c>
      <c r="H33" s="7">
        <v>70</v>
      </c>
      <c r="I33" s="23" t="s">
        <v>582</v>
      </c>
      <c r="J33" s="7" t="s">
        <v>13</v>
      </c>
      <c r="K33" s="23" t="s">
        <v>583</v>
      </c>
      <c r="L33" s="7" t="s">
        <v>13</v>
      </c>
      <c r="M33" s="23" t="s">
        <v>884</v>
      </c>
      <c r="N33" s="7">
        <v>2.96</v>
      </c>
      <c r="O33" s="6" t="s">
        <v>12</v>
      </c>
      <c r="P33" s="7"/>
      <c r="Q33" s="6"/>
      <c r="R33" s="7"/>
      <c r="S33" s="6"/>
      <c r="T33" s="24" t="s">
        <v>1295</v>
      </c>
    </row>
    <row r="34" spans="1:20" x14ac:dyDescent="0.3">
      <c r="A34" s="17">
        <v>33</v>
      </c>
      <c r="B34" s="23" t="s">
        <v>621</v>
      </c>
      <c r="C34" s="6" t="s">
        <v>621</v>
      </c>
      <c r="D34" s="23" t="s">
        <v>580</v>
      </c>
      <c r="E34" s="6" t="s">
        <v>616</v>
      </c>
      <c r="F34" s="7" t="s">
        <v>13</v>
      </c>
      <c r="G34" s="23" t="s">
        <v>20</v>
      </c>
      <c r="H34" s="7">
        <v>80</v>
      </c>
      <c r="I34" s="23" t="s">
        <v>582</v>
      </c>
      <c r="J34" s="7" t="s">
        <v>13</v>
      </c>
      <c r="K34" s="23" t="s">
        <v>583</v>
      </c>
      <c r="L34" s="7" t="s">
        <v>13</v>
      </c>
      <c r="M34" s="23" t="s">
        <v>884</v>
      </c>
      <c r="N34" s="7">
        <v>2.96</v>
      </c>
      <c r="O34" s="6" t="s">
        <v>12</v>
      </c>
      <c r="P34" s="42"/>
      <c r="Q34" s="39"/>
      <c r="R34" s="42"/>
      <c r="S34" s="39"/>
      <c r="T34" s="24" t="s">
        <v>1295</v>
      </c>
    </row>
    <row r="35" spans="1:20" x14ac:dyDescent="0.3">
      <c r="A35" s="17">
        <v>34</v>
      </c>
      <c r="B35" s="23" t="s">
        <v>622</v>
      </c>
      <c r="C35" s="6" t="s">
        <v>622</v>
      </c>
      <c r="D35" s="23" t="s">
        <v>580</v>
      </c>
      <c r="E35" s="6" t="s">
        <v>616</v>
      </c>
      <c r="F35" s="7" t="s">
        <v>13</v>
      </c>
      <c r="G35" s="23" t="s">
        <v>20</v>
      </c>
      <c r="H35" s="7">
        <v>50</v>
      </c>
      <c r="I35" s="23" t="s">
        <v>582</v>
      </c>
      <c r="J35" s="7" t="s">
        <v>13</v>
      </c>
      <c r="K35" s="23" t="s">
        <v>583</v>
      </c>
      <c r="L35" s="7" t="s">
        <v>13</v>
      </c>
      <c r="M35" s="23" t="s">
        <v>884</v>
      </c>
      <c r="N35" s="7">
        <v>5.37</v>
      </c>
      <c r="O35" s="6" t="s">
        <v>12</v>
      </c>
      <c r="P35" s="42"/>
      <c r="Q35" s="39"/>
      <c r="R35" s="42"/>
      <c r="S35" s="39"/>
      <c r="T35" s="24" t="s">
        <v>1295</v>
      </c>
    </row>
    <row r="36" spans="1:20" x14ac:dyDescent="0.3">
      <c r="A36" s="17">
        <v>35</v>
      </c>
      <c r="B36" s="23" t="s">
        <v>623</v>
      </c>
      <c r="C36" s="6" t="s">
        <v>623</v>
      </c>
      <c r="D36" s="23" t="s">
        <v>580</v>
      </c>
      <c r="E36" s="6" t="s">
        <v>616</v>
      </c>
      <c r="F36" s="7" t="s">
        <v>13</v>
      </c>
      <c r="G36" s="23" t="s">
        <v>20</v>
      </c>
      <c r="H36" s="7">
        <v>60</v>
      </c>
      <c r="I36" s="23" t="s">
        <v>582</v>
      </c>
      <c r="J36" s="7" t="s">
        <v>13</v>
      </c>
      <c r="K36" s="23" t="s">
        <v>583</v>
      </c>
      <c r="L36" s="7" t="s">
        <v>13</v>
      </c>
      <c r="M36" s="23" t="s">
        <v>884</v>
      </c>
      <c r="N36" s="7">
        <v>5.37</v>
      </c>
      <c r="O36" s="6" t="s">
        <v>12</v>
      </c>
      <c r="P36" s="7"/>
      <c r="Q36" s="6"/>
      <c r="R36" s="42"/>
      <c r="S36" s="39"/>
      <c r="T36" s="24" t="s">
        <v>1295</v>
      </c>
    </row>
    <row r="37" spans="1:20" x14ac:dyDescent="0.3">
      <c r="A37" s="17">
        <v>36</v>
      </c>
      <c r="B37" s="23" t="s">
        <v>624</v>
      </c>
      <c r="C37" s="6" t="s">
        <v>624</v>
      </c>
      <c r="D37" s="23" t="s">
        <v>580</v>
      </c>
      <c r="E37" s="6" t="s">
        <v>616</v>
      </c>
      <c r="F37" s="7" t="s">
        <v>13</v>
      </c>
      <c r="G37" s="23" t="s">
        <v>20</v>
      </c>
      <c r="H37" s="7">
        <v>70</v>
      </c>
      <c r="I37" s="23" t="s">
        <v>582</v>
      </c>
      <c r="J37" s="7" t="s">
        <v>13</v>
      </c>
      <c r="K37" s="23" t="s">
        <v>583</v>
      </c>
      <c r="L37" s="7" t="s">
        <v>13</v>
      </c>
      <c r="M37" s="23" t="s">
        <v>884</v>
      </c>
      <c r="N37" s="7">
        <v>5.37</v>
      </c>
      <c r="O37" s="6" t="s">
        <v>12</v>
      </c>
      <c r="P37" s="42"/>
      <c r="Q37" s="39"/>
      <c r="R37" s="42"/>
      <c r="S37" s="39"/>
      <c r="T37" s="24" t="s">
        <v>1295</v>
      </c>
    </row>
    <row r="38" spans="1:20" x14ac:dyDescent="0.3">
      <c r="A38" s="17">
        <v>37</v>
      </c>
      <c r="B38" s="23" t="s">
        <v>625</v>
      </c>
      <c r="C38" s="6" t="s">
        <v>625</v>
      </c>
      <c r="D38" s="23" t="s">
        <v>580</v>
      </c>
      <c r="E38" s="6" t="s">
        <v>616</v>
      </c>
      <c r="F38" s="7" t="s">
        <v>13</v>
      </c>
      <c r="G38" s="23" t="s">
        <v>20</v>
      </c>
      <c r="H38" s="7">
        <v>80</v>
      </c>
      <c r="I38" s="23" t="s">
        <v>582</v>
      </c>
      <c r="J38" s="7" t="s">
        <v>13</v>
      </c>
      <c r="K38" s="23" t="s">
        <v>583</v>
      </c>
      <c r="L38" s="7" t="s">
        <v>13</v>
      </c>
      <c r="M38" s="23" t="s">
        <v>884</v>
      </c>
      <c r="N38" s="7">
        <v>5.37</v>
      </c>
      <c r="O38" s="6" t="s">
        <v>12</v>
      </c>
      <c r="P38" s="42"/>
      <c r="Q38" s="39"/>
      <c r="R38" s="42"/>
      <c r="S38" s="39"/>
      <c r="T38" s="24" t="s">
        <v>1295</v>
      </c>
    </row>
    <row r="39" spans="1:20" x14ac:dyDescent="0.3">
      <c r="A39" s="17">
        <v>38</v>
      </c>
      <c r="B39" s="23" t="s">
        <v>626</v>
      </c>
      <c r="C39" s="6" t="s">
        <v>626</v>
      </c>
      <c r="D39" s="23" t="s">
        <v>580</v>
      </c>
      <c r="E39" s="6" t="s">
        <v>616</v>
      </c>
      <c r="F39" s="7" t="s">
        <v>13</v>
      </c>
      <c r="G39" s="23" t="s">
        <v>20</v>
      </c>
      <c r="H39" s="7">
        <v>100</v>
      </c>
      <c r="I39" s="23" t="s">
        <v>582</v>
      </c>
      <c r="J39" s="7" t="s">
        <v>13</v>
      </c>
      <c r="K39" s="23" t="s">
        <v>583</v>
      </c>
      <c r="L39" s="7" t="s">
        <v>13</v>
      </c>
      <c r="M39" s="23" t="s">
        <v>884</v>
      </c>
      <c r="N39" s="7">
        <v>5.37</v>
      </c>
      <c r="O39" s="6" t="s">
        <v>12</v>
      </c>
      <c r="P39" s="7"/>
      <c r="Q39" s="6"/>
      <c r="R39" s="42"/>
      <c r="S39" s="39"/>
      <c r="T39" s="24" t="s">
        <v>1295</v>
      </c>
    </row>
    <row r="40" spans="1:20" x14ac:dyDescent="0.3">
      <c r="A40" s="17">
        <v>39</v>
      </c>
      <c r="B40" s="23" t="s">
        <v>627</v>
      </c>
      <c r="C40" s="6" t="s">
        <v>627</v>
      </c>
      <c r="D40" s="23" t="s">
        <v>580</v>
      </c>
      <c r="E40" s="6" t="s">
        <v>616</v>
      </c>
      <c r="F40" s="7" t="s">
        <v>13</v>
      </c>
      <c r="G40" s="23" t="s">
        <v>20</v>
      </c>
      <c r="H40" s="7">
        <v>120</v>
      </c>
      <c r="I40" s="23" t="s">
        <v>582</v>
      </c>
      <c r="J40" s="7" t="s">
        <v>13</v>
      </c>
      <c r="K40" s="23" t="s">
        <v>583</v>
      </c>
      <c r="L40" s="7" t="s">
        <v>13</v>
      </c>
      <c r="M40" s="23" t="s">
        <v>884</v>
      </c>
      <c r="N40" s="7">
        <v>5.37</v>
      </c>
      <c r="O40" s="6" t="s">
        <v>12</v>
      </c>
      <c r="P40" s="7"/>
      <c r="Q40" s="6"/>
      <c r="R40" s="42"/>
      <c r="S40" s="39"/>
      <c r="T40" s="24" t="s">
        <v>1295</v>
      </c>
    </row>
    <row r="41" spans="1:20" x14ac:dyDescent="0.3">
      <c r="A41" s="17">
        <v>40</v>
      </c>
      <c r="B41" s="23" t="s">
        <v>628</v>
      </c>
      <c r="C41" s="6" t="s">
        <v>628</v>
      </c>
      <c r="D41" s="23" t="s">
        <v>580</v>
      </c>
      <c r="E41" s="6" t="s">
        <v>616</v>
      </c>
      <c r="F41" s="7" t="s">
        <v>13</v>
      </c>
      <c r="G41" s="23" t="s">
        <v>20</v>
      </c>
      <c r="H41" s="7">
        <v>100</v>
      </c>
      <c r="I41" s="23" t="s">
        <v>582</v>
      </c>
      <c r="J41" s="7" t="s">
        <v>13</v>
      </c>
      <c r="K41" s="23" t="s">
        <v>583</v>
      </c>
      <c r="L41" s="7" t="s">
        <v>13</v>
      </c>
      <c r="M41" s="23" t="s">
        <v>884</v>
      </c>
      <c r="N41" s="7">
        <v>5.37</v>
      </c>
      <c r="O41" s="6" t="s">
        <v>12</v>
      </c>
      <c r="P41" s="42"/>
      <c r="Q41" s="39"/>
      <c r="R41" s="42"/>
      <c r="S41" s="39"/>
      <c r="T41" s="24" t="s">
        <v>1295</v>
      </c>
    </row>
    <row r="42" spans="1:20" x14ac:dyDescent="0.3">
      <c r="A42" s="17">
        <v>41</v>
      </c>
      <c r="B42" s="23" t="s">
        <v>629</v>
      </c>
      <c r="C42" s="6" t="s">
        <v>629</v>
      </c>
      <c r="D42" s="23" t="s">
        <v>580</v>
      </c>
      <c r="E42" s="6" t="s">
        <v>616</v>
      </c>
      <c r="F42" s="7" t="s">
        <v>13</v>
      </c>
      <c r="G42" s="23" t="s">
        <v>20</v>
      </c>
      <c r="H42" s="7">
        <v>120</v>
      </c>
      <c r="I42" s="23" t="s">
        <v>582</v>
      </c>
      <c r="J42" s="7" t="s">
        <v>13</v>
      </c>
      <c r="K42" s="23" t="s">
        <v>583</v>
      </c>
      <c r="L42" s="7" t="s">
        <v>13</v>
      </c>
      <c r="M42" s="23" t="s">
        <v>884</v>
      </c>
      <c r="N42" s="7">
        <v>5.37</v>
      </c>
      <c r="O42" s="6" t="s">
        <v>12</v>
      </c>
      <c r="P42" s="42"/>
      <c r="Q42" s="39"/>
      <c r="R42" s="42"/>
      <c r="S42" s="39"/>
      <c r="T42" s="24" t="s">
        <v>1295</v>
      </c>
    </row>
    <row r="43" spans="1:20" x14ac:dyDescent="0.3">
      <c r="A43" s="17">
        <v>42</v>
      </c>
      <c r="B43" s="23" t="s">
        <v>630</v>
      </c>
      <c r="C43" s="6" t="s">
        <v>630</v>
      </c>
      <c r="D43" s="23" t="s">
        <v>580</v>
      </c>
      <c r="E43" s="6" t="s">
        <v>616</v>
      </c>
      <c r="F43" s="7" t="s">
        <v>13</v>
      </c>
      <c r="G43" s="23" t="s">
        <v>20</v>
      </c>
      <c r="H43" s="7">
        <v>140</v>
      </c>
      <c r="I43" s="23" t="s">
        <v>582</v>
      </c>
      <c r="J43" s="7" t="s">
        <v>13</v>
      </c>
      <c r="K43" s="23" t="s">
        <v>583</v>
      </c>
      <c r="L43" s="7" t="s">
        <v>13</v>
      </c>
      <c r="M43" s="23" t="s">
        <v>884</v>
      </c>
      <c r="N43" s="7">
        <v>5.37</v>
      </c>
      <c r="O43" s="6" t="s">
        <v>12</v>
      </c>
      <c r="P43" s="42"/>
      <c r="Q43" s="39"/>
      <c r="R43" s="42"/>
      <c r="S43" s="39"/>
      <c r="T43" s="24" t="s">
        <v>1295</v>
      </c>
    </row>
    <row r="44" spans="1:20" x14ac:dyDescent="0.3">
      <c r="A44" s="17">
        <v>43</v>
      </c>
      <c r="B44" s="23" t="s">
        <v>631</v>
      </c>
      <c r="C44" s="6" t="s">
        <v>631</v>
      </c>
      <c r="D44" s="23" t="s">
        <v>580</v>
      </c>
      <c r="E44" s="6" t="s">
        <v>616</v>
      </c>
      <c r="F44" s="7" t="s">
        <v>13</v>
      </c>
      <c r="G44" s="23" t="s">
        <v>20</v>
      </c>
      <c r="H44" s="7">
        <v>160</v>
      </c>
      <c r="I44" s="23" t="s">
        <v>582</v>
      </c>
      <c r="J44" s="7" t="s">
        <v>13</v>
      </c>
      <c r="K44" s="23" t="s">
        <v>583</v>
      </c>
      <c r="L44" s="7" t="s">
        <v>13</v>
      </c>
      <c r="M44" s="23" t="s">
        <v>884</v>
      </c>
      <c r="N44" s="7">
        <v>5.37</v>
      </c>
      <c r="O44" s="6" t="s">
        <v>12</v>
      </c>
      <c r="P44" s="42"/>
      <c r="Q44" s="39"/>
      <c r="R44" s="42"/>
      <c r="S44" s="39"/>
      <c r="T44" s="24" t="s">
        <v>1295</v>
      </c>
    </row>
    <row r="45" spans="1:20" x14ac:dyDescent="0.3">
      <c r="A45" s="17">
        <v>44</v>
      </c>
      <c r="B45" s="23" t="s">
        <v>632</v>
      </c>
      <c r="C45" s="6" t="s">
        <v>632</v>
      </c>
      <c r="D45" s="23" t="s">
        <v>580</v>
      </c>
      <c r="E45" s="6" t="s">
        <v>616</v>
      </c>
      <c r="F45" s="7" t="s">
        <v>13</v>
      </c>
      <c r="G45" s="23" t="s">
        <v>20</v>
      </c>
      <c r="H45" s="7">
        <v>180</v>
      </c>
      <c r="I45" s="23" t="s">
        <v>582</v>
      </c>
      <c r="J45" s="7" t="s">
        <v>13</v>
      </c>
      <c r="K45" s="23" t="s">
        <v>583</v>
      </c>
      <c r="L45" s="7" t="s">
        <v>13</v>
      </c>
      <c r="M45" s="23" t="s">
        <v>884</v>
      </c>
      <c r="N45" s="7">
        <v>5.37</v>
      </c>
      <c r="O45" s="6" t="s">
        <v>12</v>
      </c>
      <c r="P45" s="42"/>
      <c r="Q45" s="39"/>
      <c r="R45" s="42"/>
      <c r="S45" s="39"/>
      <c r="T45" s="24" t="s">
        <v>1295</v>
      </c>
    </row>
    <row r="46" spans="1:20" x14ac:dyDescent="0.3">
      <c r="A46" s="17">
        <v>45</v>
      </c>
      <c r="B46" s="23" t="s">
        <v>633</v>
      </c>
      <c r="C46" s="6" t="s">
        <v>633</v>
      </c>
      <c r="D46" s="23" t="s">
        <v>580</v>
      </c>
      <c r="E46" s="6" t="s">
        <v>616</v>
      </c>
      <c r="F46" s="7" t="s">
        <v>13</v>
      </c>
      <c r="G46" s="23" t="s">
        <v>20</v>
      </c>
      <c r="H46" s="7">
        <v>200</v>
      </c>
      <c r="I46" s="23" t="s">
        <v>582</v>
      </c>
      <c r="J46" s="7" t="s">
        <v>13</v>
      </c>
      <c r="K46" s="23" t="s">
        <v>583</v>
      </c>
      <c r="L46" s="7" t="s">
        <v>13</v>
      </c>
      <c r="M46" s="23" t="s">
        <v>884</v>
      </c>
      <c r="N46" s="7">
        <v>5.37</v>
      </c>
      <c r="O46" s="6" t="s">
        <v>12</v>
      </c>
      <c r="P46" s="7"/>
      <c r="Q46" s="6"/>
      <c r="R46" s="42"/>
      <c r="S46" s="39"/>
      <c r="T46" s="24" t="s">
        <v>1295</v>
      </c>
    </row>
    <row r="47" spans="1:20" x14ac:dyDescent="0.3">
      <c r="A47" s="17">
        <v>46</v>
      </c>
      <c r="B47" s="23" t="s">
        <v>634</v>
      </c>
      <c r="C47" s="6" t="s">
        <v>634</v>
      </c>
      <c r="D47" s="23" t="s">
        <v>580</v>
      </c>
      <c r="E47" s="6" t="s">
        <v>616</v>
      </c>
      <c r="F47" s="7" t="s">
        <v>13</v>
      </c>
      <c r="G47" s="23" t="s">
        <v>20</v>
      </c>
      <c r="H47" s="7">
        <v>220</v>
      </c>
      <c r="I47" s="23" t="s">
        <v>582</v>
      </c>
      <c r="J47" s="7" t="s">
        <v>13</v>
      </c>
      <c r="K47" s="23" t="s">
        <v>583</v>
      </c>
      <c r="L47" s="7" t="s">
        <v>13</v>
      </c>
      <c r="M47" s="23" t="s">
        <v>884</v>
      </c>
      <c r="N47" s="7">
        <v>5.37</v>
      </c>
      <c r="O47" s="6" t="s">
        <v>12</v>
      </c>
      <c r="P47" s="7"/>
      <c r="Q47" s="6"/>
      <c r="R47" s="42"/>
      <c r="S47" s="39"/>
      <c r="T47" s="24" t="s">
        <v>1295</v>
      </c>
    </row>
    <row r="48" spans="1:20" x14ac:dyDescent="0.3">
      <c r="A48" s="17">
        <v>47</v>
      </c>
      <c r="B48" s="23" t="s">
        <v>635</v>
      </c>
      <c r="C48" s="6" t="s">
        <v>635</v>
      </c>
      <c r="D48" s="23" t="s">
        <v>580</v>
      </c>
      <c r="E48" s="6" t="s">
        <v>616</v>
      </c>
      <c r="F48" s="7" t="s">
        <v>13</v>
      </c>
      <c r="G48" s="23" t="s">
        <v>20</v>
      </c>
      <c r="H48" s="7">
        <v>250</v>
      </c>
      <c r="I48" s="23" t="s">
        <v>582</v>
      </c>
      <c r="J48" s="7" t="s">
        <v>13</v>
      </c>
      <c r="K48" s="23" t="s">
        <v>583</v>
      </c>
      <c r="L48" s="7" t="s">
        <v>13</v>
      </c>
      <c r="M48" s="23" t="s">
        <v>884</v>
      </c>
      <c r="N48" s="7">
        <v>5.37</v>
      </c>
      <c r="O48" s="6" t="s">
        <v>12</v>
      </c>
      <c r="P48" s="42"/>
      <c r="Q48" s="39"/>
      <c r="R48" s="42"/>
      <c r="S48" s="39"/>
      <c r="T48" s="24" t="s">
        <v>1295</v>
      </c>
    </row>
    <row r="49" spans="1:20" x14ac:dyDescent="0.3">
      <c r="A49" s="17">
        <v>48</v>
      </c>
      <c r="B49" s="23" t="s">
        <v>636</v>
      </c>
      <c r="C49" s="6" t="s">
        <v>636</v>
      </c>
      <c r="D49" s="23" t="s">
        <v>580</v>
      </c>
      <c r="E49" s="6" t="s">
        <v>616</v>
      </c>
      <c r="F49" s="7" t="s">
        <v>13</v>
      </c>
      <c r="G49" s="23" t="s">
        <v>20</v>
      </c>
      <c r="H49" s="7">
        <v>200</v>
      </c>
      <c r="I49" s="23" t="s">
        <v>582</v>
      </c>
      <c r="J49" s="7" t="s">
        <v>13</v>
      </c>
      <c r="K49" s="23" t="s">
        <v>583</v>
      </c>
      <c r="L49" s="7" t="s">
        <v>13</v>
      </c>
      <c r="M49" s="23" t="s">
        <v>884</v>
      </c>
      <c r="N49" s="7">
        <v>14.76</v>
      </c>
      <c r="O49" s="6" t="s">
        <v>12</v>
      </c>
      <c r="P49" s="42"/>
      <c r="Q49" s="39"/>
      <c r="R49" s="42"/>
      <c r="S49" s="39"/>
      <c r="T49" s="24" t="s">
        <v>1295</v>
      </c>
    </row>
    <row r="50" spans="1:20" x14ac:dyDescent="0.3">
      <c r="A50" s="17">
        <v>49</v>
      </c>
      <c r="B50" s="23" t="s">
        <v>637</v>
      </c>
      <c r="C50" s="6" t="s">
        <v>637</v>
      </c>
      <c r="D50" s="23" t="s">
        <v>580</v>
      </c>
      <c r="E50" s="6" t="s">
        <v>616</v>
      </c>
      <c r="F50" s="7" t="s">
        <v>13</v>
      </c>
      <c r="G50" s="23" t="s">
        <v>20</v>
      </c>
      <c r="H50" s="7">
        <v>250</v>
      </c>
      <c r="I50" s="23" t="s">
        <v>582</v>
      </c>
      <c r="J50" s="7" t="s">
        <v>13</v>
      </c>
      <c r="K50" s="23" t="s">
        <v>583</v>
      </c>
      <c r="L50" s="7" t="s">
        <v>13</v>
      </c>
      <c r="M50" s="23" t="s">
        <v>884</v>
      </c>
      <c r="N50" s="7">
        <v>14.76</v>
      </c>
      <c r="O50" s="6" t="s">
        <v>12</v>
      </c>
      <c r="P50" s="42"/>
      <c r="Q50" s="39"/>
      <c r="R50" s="42"/>
      <c r="S50" s="39"/>
      <c r="T50" s="24" t="s">
        <v>1295</v>
      </c>
    </row>
    <row r="51" spans="1:20" x14ac:dyDescent="0.3">
      <c r="A51" s="17">
        <v>50</v>
      </c>
      <c r="B51" s="23" t="s">
        <v>638</v>
      </c>
      <c r="C51" s="6" t="s">
        <v>638</v>
      </c>
      <c r="D51" s="23" t="s">
        <v>580</v>
      </c>
      <c r="E51" s="6" t="s">
        <v>616</v>
      </c>
      <c r="F51" s="7" t="s">
        <v>13</v>
      </c>
      <c r="G51" s="23" t="s">
        <v>20</v>
      </c>
      <c r="H51" s="7">
        <v>300</v>
      </c>
      <c r="I51" s="23" t="s">
        <v>582</v>
      </c>
      <c r="J51" s="7" t="s">
        <v>13</v>
      </c>
      <c r="K51" s="23" t="s">
        <v>583</v>
      </c>
      <c r="L51" s="7" t="s">
        <v>13</v>
      </c>
      <c r="M51" s="23" t="s">
        <v>884</v>
      </c>
      <c r="N51" s="7">
        <v>14.76</v>
      </c>
      <c r="O51" s="6" t="s">
        <v>12</v>
      </c>
      <c r="P51" s="42"/>
      <c r="Q51" s="39"/>
      <c r="R51" s="42"/>
      <c r="S51" s="39"/>
      <c r="T51" s="24" t="s">
        <v>1295</v>
      </c>
    </row>
    <row r="52" spans="1:20" x14ac:dyDescent="0.3">
      <c r="A52" s="17">
        <v>51</v>
      </c>
      <c r="B52" s="23" t="s">
        <v>639</v>
      </c>
      <c r="C52" s="6" t="s">
        <v>639</v>
      </c>
      <c r="D52" s="23" t="s">
        <v>580</v>
      </c>
      <c r="E52" s="6" t="s">
        <v>616</v>
      </c>
      <c r="F52" s="7" t="s">
        <v>13</v>
      </c>
      <c r="G52" s="23" t="s">
        <v>20</v>
      </c>
      <c r="H52" s="7">
        <v>350</v>
      </c>
      <c r="I52" s="23" t="s">
        <v>582</v>
      </c>
      <c r="J52" s="7" t="s">
        <v>13</v>
      </c>
      <c r="K52" s="23" t="s">
        <v>583</v>
      </c>
      <c r="L52" s="7" t="s">
        <v>13</v>
      </c>
      <c r="M52" s="23" t="s">
        <v>884</v>
      </c>
      <c r="N52" s="7">
        <v>14.76</v>
      </c>
      <c r="O52" s="6" t="s">
        <v>12</v>
      </c>
      <c r="P52" s="42"/>
      <c r="Q52" s="39"/>
      <c r="R52" s="42"/>
      <c r="S52" s="39"/>
      <c r="T52" s="24" t="s">
        <v>1295</v>
      </c>
    </row>
    <row r="53" spans="1:20" x14ac:dyDescent="0.3">
      <c r="A53" s="17">
        <v>52</v>
      </c>
      <c r="B53" s="23" t="s">
        <v>640</v>
      </c>
      <c r="C53" s="6" t="s">
        <v>640</v>
      </c>
      <c r="D53" s="23" t="s">
        <v>580</v>
      </c>
      <c r="E53" s="6" t="s">
        <v>616</v>
      </c>
      <c r="F53" s="7" t="s">
        <v>13</v>
      </c>
      <c r="G53" s="23" t="s">
        <v>20</v>
      </c>
      <c r="H53" s="7">
        <v>400</v>
      </c>
      <c r="I53" s="23" t="s">
        <v>582</v>
      </c>
      <c r="J53" s="7" t="s">
        <v>13</v>
      </c>
      <c r="K53" s="23" t="s">
        <v>583</v>
      </c>
      <c r="L53" s="7" t="s">
        <v>13</v>
      </c>
      <c r="M53" s="23" t="s">
        <v>884</v>
      </c>
      <c r="N53" s="7">
        <v>14.76</v>
      </c>
      <c r="O53" s="6" t="s">
        <v>12</v>
      </c>
      <c r="P53" s="42"/>
      <c r="Q53" s="39"/>
      <c r="R53" s="42"/>
      <c r="S53" s="39"/>
      <c r="T53" s="24" t="s">
        <v>1295</v>
      </c>
    </row>
    <row r="54" spans="1:20" x14ac:dyDescent="0.3">
      <c r="A54" s="17">
        <v>53</v>
      </c>
      <c r="B54" s="23" t="s">
        <v>641</v>
      </c>
      <c r="C54" s="6" t="s">
        <v>641</v>
      </c>
      <c r="D54" s="23" t="s">
        <v>580</v>
      </c>
      <c r="E54" s="6" t="s">
        <v>616</v>
      </c>
      <c r="F54" s="7" t="s">
        <v>13</v>
      </c>
      <c r="G54" s="23" t="s">
        <v>20</v>
      </c>
      <c r="H54" s="7">
        <v>450</v>
      </c>
      <c r="I54" s="23" t="s">
        <v>582</v>
      </c>
      <c r="J54" s="7" t="s">
        <v>13</v>
      </c>
      <c r="K54" s="23" t="s">
        <v>583</v>
      </c>
      <c r="L54" s="7" t="s">
        <v>13</v>
      </c>
      <c r="M54" s="23" t="s">
        <v>884</v>
      </c>
      <c r="N54" s="7">
        <v>14.76</v>
      </c>
      <c r="O54" s="6" t="s">
        <v>12</v>
      </c>
      <c r="P54" s="42"/>
      <c r="Q54" s="39"/>
      <c r="R54" s="42"/>
      <c r="S54" s="39"/>
      <c r="T54" s="24" t="s">
        <v>1295</v>
      </c>
    </row>
    <row r="55" spans="1:20" x14ac:dyDescent="0.3">
      <c r="A55" s="17">
        <v>54</v>
      </c>
      <c r="B55" s="23" t="s">
        <v>642</v>
      </c>
      <c r="C55" s="6" t="s">
        <v>642</v>
      </c>
      <c r="D55" s="23" t="s">
        <v>580</v>
      </c>
      <c r="E55" s="6" t="s">
        <v>616</v>
      </c>
      <c r="F55" s="7" t="s">
        <v>13</v>
      </c>
      <c r="G55" s="23" t="s">
        <v>20</v>
      </c>
      <c r="H55" s="7">
        <v>500</v>
      </c>
      <c r="I55" s="23" t="s">
        <v>582</v>
      </c>
      <c r="J55" s="7" t="s">
        <v>13</v>
      </c>
      <c r="K55" s="23" t="s">
        <v>583</v>
      </c>
      <c r="L55" s="7" t="s">
        <v>13</v>
      </c>
      <c r="M55" s="23" t="s">
        <v>884</v>
      </c>
      <c r="N55" s="7">
        <v>14.76</v>
      </c>
      <c r="O55" s="6" t="s">
        <v>12</v>
      </c>
      <c r="P55" s="7"/>
      <c r="Q55" s="6"/>
      <c r="R55" s="42"/>
      <c r="S55" s="39"/>
      <c r="T55" s="24" t="s">
        <v>1295</v>
      </c>
    </row>
    <row r="56" spans="1:20" x14ac:dyDescent="0.3">
      <c r="A56" s="17">
        <v>55</v>
      </c>
      <c r="B56" s="23" t="s">
        <v>643</v>
      </c>
      <c r="C56" s="6" t="s">
        <v>643</v>
      </c>
      <c r="D56" s="23" t="s">
        <v>580</v>
      </c>
      <c r="E56" s="6" t="s">
        <v>616</v>
      </c>
      <c r="F56" s="7" t="s">
        <v>13</v>
      </c>
      <c r="G56" s="23" t="s">
        <v>20</v>
      </c>
      <c r="H56" s="7">
        <v>500</v>
      </c>
      <c r="I56" s="23" t="s">
        <v>582</v>
      </c>
      <c r="J56" s="7" t="s">
        <v>13</v>
      </c>
      <c r="K56" s="23" t="s">
        <v>583</v>
      </c>
      <c r="L56" s="7" t="s">
        <v>13</v>
      </c>
      <c r="M56" s="23" t="s">
        <v>884</v>
      </c>
      <c r="N56" s="7">
        <v>20.12</v>
      </c>
      <c r="O56" s="6" t="s">
        <v>12</v>
      </c>
      <c r="P56" s="42"/>
      <c r="Q56" s="39"/>
      <c r="R56" s="42"/>
      <c r="S56" s="39"/>
      <c r="T56" s="24" t="s">
        <v>1295</v>
      </c>
    </row>
    <row r="57" spans="1:20" x14ac:dyDescent="0.3">
      <c r="A57" s="17">
        <v>56</v>
      </c>
      <c r="B57" s="23" t="s">
        <v>644</v>
      </c>
      <c r="C57" s="6" t="s">
        <v>644</v>
      </c>
      <c r="D57" s="23" t="s">
        <v>580</v>
      </c>
      <c r="E57" s="6" t="s">
        <v>616</v>
      </c>
      <c r="F57" s="7" t="s">
        <v>13</v>
      </c>
      <c r="G57" s="23" t="s">
        <v>20</v>
      </c>
      <c r="H57" s="7">
        <v>600</v>
      </c>
      <c r="I57" s="23" t="s">
        <v>582</v>
      </c>
      <c r="J57" s="7" t="s">
        <v>13</v>
      </c>
      <c r="K57" s="23" t="s">
        <v>583</v>
      </c>
      <c r="L57" s="7" t="s">
        <v>13</v>
      </c>
      <c r="M57" s="23" t="s">
        <v>884</v>
      </c>
      <c r="N57" s="7">
        <v>20.12</v>
      </c>
      <c r="O57" s="6" t="s">
        <v>12</v>
      </c>
      <c r="P57" s="42"/>
      <c r="Q57" s="39"/>
      <c r="R57" s="42"/>
      <c r="S57" s="39"/>
      <c r="T57" s="24" t="s">
        <v>1295</v>
      </c>
    </row>
    <row r="58" spans="1:20" x14ac:dyDescent="0.3">
      <c r="A58" s="17">
        <v>57</v>
      </c>
      <c r="B58" s="23" t="s">
        <v>645</v>
      </c>
      <c r="C58" s="6" t="s">
        <v>645</v>
      </c>
      <c r="D58" s="23" t="s">
        <v>580</v>
      </c>
      <c r="E58" s="6" t="s">
        <v>616</v>
      </c>
      <c r="F58" s="7" t="s">
        <v>13</v>
      </c>
      <c r="G58" s="23" t="s">
        <v>20</v>
      </c>
      <c r="H58" s="7">
        <v>700</v>
      </c>
      <c r="I58" s="23" t="s">
        <v>582</v>
      </c>
      <c r="J58" s="7" t="s">
        <v>13</v>
      </c>
      <c r="K58" s="23" t="s">
        <v>583</v>
      </c>
      <c r="L58" s="7" t="s">
        <v>13</v>
      </c>
      <c r="M58" s="23" t="s">
        <v>884</v>
      </c>
      <c r="N58" s="7">
        <v>20.12</v>
      </c>
      <c r="O58" s="6" t="s">
        <v>12</v>
      </c>
      <c r="P58" s="7"/>
      <c r="Q58" s="6"/>
      <c r="R58" s="42"/>
      <c r="S58" s="39"/>
      <c r="T58" s="24" t="s">
        <v>1295</v>
      </c>
    </row>
    <row r="59" spans="1:20" x14ac:dyDescent="0.3">
      <c r="A59" s="17">
        <v>58</v>
      </c>
      <c r="B59" s="23" t="s">
        <v>646</v>
      </c>
      <c r="C59" s="6" t="s">
        <v>646</v>
      </c>
      <c r="D59" s="23" t="s">
        <v>580</v>
      </c>
      <c r="E59" s="6" t="s">
        <v>616</v>
      </c>
      <c r="F59" s="7" t="s">
        <v>13</v>
      </c>
      <c r="G59" s="23" t="s">
        <v>20</v>
      </c>
      <c r="H59" s="7">
        <v>800</v>
      </c>
      <c r="I59" s="23" t="s">
        <v>582</v>
      </c>
      <c r="J59" s="7" t="s">
        <v>13</v>
      </c>
      <c r="K59" s="23" t="s">
        <v>583</v>
      </c>
      <c r="L59" s="7" t="s">
        <v>13</v>
      </c>
      <c r="M59" s="23" t="s">
        <v>884</v>
      </c>
      <c r="N59" s="7">
        <v>20.12</v>
      </c>
      <c r="O59" s="6" t="s">
        <v>12</v>
      </c>
      <c r="P59" s="42"/>
      <c r="Q59" s="39"/>
      <c r="R59" s="42"/>
      <c r="S59" s="39"/>
      <c r="T59" s="24" t="s">
        <v>1295</v>
      </c>
    </row>
    <row r="60" spans="1:20" x14ac:dyDescent="0.3">
      <c r="A60" s="17">
        <v>59</v>
      </c>
      <c r="B60" s="23" t="s">
        <v>647</v>
      </c>
      <c r="C60" s="6" t="s">
        <v>647</v>
      </c>
      <c r="D60" s="23" t="s">
        <v>580</v>
      </c>
      <c r="E60" s="6" t="s">
        <v>616</v>
      </c>
      <c r="F60" s="7" t="s">
        <v>13</v>
      </c>
      <c r="G60" s="23" t="s">
        <v>20</v>
      </c>
      <c r="H60" s="7">
        <v>900</v>
      </c>
      <c r="I60" s="23" t="s">
        <v>582</v>
      </c>
      <c r="J60" s="7" t="s">
        <v>13</v>
      </c>
      <c r="K60" s="23" t="s">
        <v>583</v>
      </c>
      <c r="L60" s="7" t="s">
        <v>13</v>
      </c>
      <c r="M60" s="23" t="s">
        <v>884</v>
      </c>
      <c r="N60" s="7">
        <v>20.12</v>
      </c>
      <c r="O60" s="6" t="s">
        <v>12</v>
      </c>
      <c r="P60" s="42"/>
      <c r="Q60" s="39"/>
      <c r="R60" s="42"/>
      <c r="S60" s="39"/>
      <c r="T60" s="24" t="s">
        <v>1295</v>
      </c>
    </row>
    <row r="61" spans="1:20" x14ac:dyDescent="0.3">
      <c r="A61" s="17">
        <v>60</v>
      </c>
      <c r="B61" s="23" t="s">
        <v>648</v>
      </c>
      <c r="C61" s="6" t="s">
        <v>648</v>
      </c>
      <c r="D61" s="23" t="s">
        <v>580</v>
      </c>
      <c r="E61" s="6" t="s">
        <v>616</v>
      </c>
      <c r="F61" s="7" t="s">
        <v>13</v>
      </c>
      <c r="G61" s="23" t="s">
        <v>20</v>
      </c>
      <c r="H61" s="23">
        <v>1000</v>
      </c>
      <c r="I61" s="23" t="s">
        <v>582</v>
      </c>
      <c r="J61" s="7" t="s">
        <v>13</v>
      </c>
      <c r="K61" s="23" t="s">
        <v>583</v>
      </c>
      <c r="L61" s="7" t="s">
        <v>13</v>
      </c>
      <c r="M61" s="23" t="s">
        <v>884</v>
      </c>
      <c r="N61" s="23">
        <v>20.12</v>
      </c>
      <c r="O61" s="6" t="s">
        <v>12</v>
      </c>
      <c r="P61" s="42"/>
      <c r="Q61" s="39"/>
      <c r="R61" s="42"/>
      <c r="S61" s="39"/>
      <c r="T61" s="24" t="s">
        <v>1295</v>
      </c>
    </row>
    <row r="62" spans="1:20" x14ac:dyDescent="0.3">
      <c r="A62" s="17">
        <v>61</v>
      </c>
      <c r="B62" s="23" t="s">
        <v>649</v>
      </c>
      <c r="C62" s="6" t="s">
        <v>650</v>
      </c>
      <c r="D62" s="23" t="s">
        <v>580</v>
      </c>
      <c r="E62" s="6" t="s">
        <v>581</v>
      </c>
      <c r="F62" s="7" t="s">
        <v>13</v>
      </c>
      <c r="G62" s="23" t="s">
        <v>20</v>
      </c>
      <c r="H62" s="7">
        <v>445</v>
      </c>
      <c r="I62" s="23" t="s">
        <v>582</v>
      </c>
      <c r="J62" s="7" t="s">
        <v>13</v>
      </c>
      <c r="K62" s="23" t="s">
        <v>583</v>
      </c>
      <c r="L62" s="7" t="s">
        <v>13</v>
      </c>
      <c r="M62" s="23" t="s">
        <v>884</v>
      </c>
      <c r="N62" s="7">
        <v>27.76</v>
      </c>
      <c r="O62" s="6" t="s">
        <v>12</v>
      </c>
      <c r="P62" s="7"/>
      <c r="Q62" s="6"/>
      <c r="R62" s="42"/>
      <c r="S62" s="39"/>
      <c r="T62" s="24" t="s">
        <v>651</v>
      </c>
    </row>
    <row r="63" spans="1:20" x14ac:dyDescent="0.3">
      <c r="A63" s="17">
        <v>62</v>
      </c>
      <c r="B63" s="23" t="s">
        <v>652</v>
      </c>
      <c r="C63" s="6" t="s">
        <v>653</v>
      </c>
      <c r="D63" s="23" t="s">
        <v>580</v>
      </c>
      <c r="E63" s="6" t="s">
        <v>581</v>
      </c>
      <c r="F63" s="7">
        <v>18.93</v>
      </c>
      <c r="G63" s="23" t="s">
        <v>654</v>
      </c>
      <c r="H63" s="7">
        <v>38.75</v>
      </c>
      <c r="I63" s="23" t="s">
        <v>582</v>
      </c>
      <c r="J63" s="7" t="s">
        <v>13</v>
      </c>
      <c r="K63" s="23" t="s">
        <v>583</v>
      </c>
      <c r="L63" s="7">
        <f>ROUNDUP(19*0.3048^3,2)</f>
        <v>0.54</v>
      </c>
      <c r="M63" s="23" t="s">
        <v>884</v>
      </c>
      <c r="N63" s="7">
        <v>5</v>
      </c>
      <c r="O63" s="6" t="s">
        <v>12</v>
      </c>
      <c r="P63" s="42"/>
      <c r="Q63" s="39"/>
      <c r="R63" s="42"/>
      <c r="S63" s="39"/>
      <c r="T63" s="24" t="s">
        <v>655</v>
      </c>
    </row>
    <row r="64" spans="1:20" x14ac:dyDescent="0.3">
      <c r="A64" s="17">
        <v>63</v>
      </c>
      <c r="B64" s="23" t="s">
        <v>656</v>
      </c>
      <c r="C64" s="45" t="s">
        <v>657</v>
      </c>
      <c r="D64" s="23" t="s">
        <v>600</v>
      </c>
      <c r="E64" s="6" t="s">
        <v>52</v>
      </c>
      <c r="F64" s="7" t="s">
        <v>13</v>
      </c>
      <c r="G64" s="23" t="s">
        <v>20</v>
      </c>
      <c r="H64" s="7">
        <v>8</v>
      </c>
      <c r="I64" s="23" t="s">
        <v>582</v>
      </c>
      <c r="J64" s="7" t="s">
        <v>13</v>
      </c>
      <c r="K64" s="23" t="s">
        <v>583</v>
      </c>
      <c r="L64" s="7" t="s">
        <v>13</v>
      </c>
      <c r="M64" s="23" t="s">
        <v>884</v>
      </c>
      <c r="N64" s="7">
        <v>20</v>
      </c>
      <c r="O64" s="6" t="s">
        <v>12</v>
      </c>
      <c r="P64" s="42" t="s">
        <v>20</v>
      </c>
      <c r="Q64" s="39" t="s">
        <v>20</v>
      </c>
      <c r="R64" s="42" t="s">
        <v>20</v>
      </c>
      <c r="S64" s="39" t="s">
        <v>20</v>
      </c>
      <c r="T64" s="24" t="s">
        <v>1311</v>
      </c>
    </row>
    <row r="65" spans="1:20" x14ac:dyDescent="0.3">
      <c r="A65" s="17">
        <v>64</v>
      </c>
      <c r="B65" s="23" t="s">
        <v>658</v>
      </c>
      <c r="C65" s="45" t="s">
        <v>659</v>
      </c>
      <c r="D65" s="23" t="s">
        <v>600</v>
      </c>
      <c r="E65" s="6" t="s">
        <v>870</v>
      </c>
      <c r="F65" s="7" t="s">
        <v>13</v>
      </c>
      <c r="G65" s="23" t="s">
        <v>20</v>
      </c>
      <c r="H65" s="7">
        <v>4</v>
      </c>
      <c r="I65" s="23" t="s">
        <v>582</v>
      </c>
      <c r="J65" s="7" t="s">
        <v>13</v>
      </c>
      <c r="K65" s="23" t="s">
        <v>583</v>
      </c>
      <c r="L65" s="7" t="s">
        <v>13</v>
      </c>
      <c r="M65" s="23" t="s">
        <v>884</v>
      </c>
      <c r="N65" s="7">
        <v>10</v>
      </c>
      <c r="O65" s="6" t="s">
        <v>12</v>
      </c>
      <c r="P65" s="42" t="s">
        <v>20</v>
      </c>
      <c r="Q65" s="39" t="s">
        <v>20</v>
      </c>
      <c r="R65" s="42" t="s">
        <v>20</v>
      </c>
      <c r="S65" s="39" t="s">
        <v>20</v>
      </c>
      <c r="T65" s="24" t="s">
        <v>1311</v>
      </c>
    </row>
    <row r="66" spans="1:20" x14ac:dyDescent="0.3">
      <c r="A66" s="17">
        <v>65</v>
      </c>
      <c r="B66" s="23" t="s">
        <v>660</v>
      </c>
      <c r="C66" s="45" t="s">
        <v>661</v>
      </c>
      <c r="D66" s="23" t="s">
        <v>600</v>
      </c>
      <c r="E66" s="6" t="s">
        <v>52</v>
      </c>
      <c r="F66" s="7" t="s">
        <v>13</v>
      </c>
      <c r="G66" s="23" t="s">
        <v>20</v>
      </c>
      <c r="H66" s="7">
        <v>0.06</v>
      </c>
      <c r="I66" s="23" t="s">
        <v>582</v>
      </c>
      <c r="J66" s="7" t="s">
        <v>13</v>
      </c>
      <c r="K66" s="23" t="s">
        <v>583</v>
      </c>
      <c r="L66" s="7" t="s">
        <v>13</v>
      </c>
      <c r="M66" s="23" t="s">
        <v>884</v>
      </c>
      <c r="N66" s="7">
        <v>2.96</v>
      </c>
      <c r="O66" s="6" t="s">
        <v>12</v>
      </c>
      <c r="P66" s="42" t="s">
        <v>20</v>
      </c>
      <c r="Q66" s="39" t="s">
        <v>20</v>
      </c>
      <c r="R66" s="42" t="s">
        <v>20</v>
      </c>
      <c r="S66" s="39" t="s">
        <v>20</v>
      </c>
      <c r="T66" s="24" t="s">
        <v>1296</v>
      </c>
    </row>
    <row r="67" spans="1:20" x14ac:dyDescent="0.3">
      <c r="A67" s="17">
        <v>66</v>
      </c>
      <c r="B67" s="23" t="s">
        <v>662</v>
      </c>
      <c r="C67" s="45" t="s">
        <v>663</v>
      </c>
      <c r="D67" s="23" t="s">
        <v>600</v>
      </c>
      <c r="E67" s="6" t="s">
        <v>55</v>
      </c>
      <c r="F67" s="7" t="s">
        <v>13</v>
      </c>
      <c r="G67" s="23" t="s">
        <v>20</v>
      </c>
      <c r="H67" s="7">
        <v>4</v>
      </c>
      <c r="I67" s="23" t="s">
        <v>582</v>
      </c>
      <c r="J67" s="7" t="s">
        <v>13</v>
      </c>
      <c r="K67" s="23" t="s">
        <v>583</v>
      </c>
      <c r="L67" s="7" t="s">
        <v>13</v>
      </c>
      <c r="M67" s="23" t="s">
        <v>884</v>
      </c>
      <c r="N67" s="7">
        <v>25</v>
      </c>
      <c r="O67" s="6" t="s">
        <v>12</v>
      </c>
      <c r="P67" s="42">
        <v>3</v>
      </c>
      <c r="Q67" s="39" t="s">
        <v>12</v>
      </c>
      <c r="R67" s="42" t="s">
        <v>20</v>
      </c>
      <c r="S67" s="39" t="s">
        <v>20</v>
      </c>
      <c r="T67" s="24" t="s">
        <v>664</v>
      </c>
    </row>
    <row r="68" spans="1:20" x14ac:dyDescent="0.3">
      <c r="A68" s="17">
        <v>67</v>
      </c>
      <c r="B68" s="23" t="s">
        <v>665</v>
      </c>
      <c r="C68" s="45" t="s">
        <v>666</v>
      </c>
      <c r="D68" s="23" t="s">
        <v>600</v>
      </c>
      <c r="E68" s="6" t="s">
        <v>55</v>
      </c>
      <c r="F68" s="7" t="s">
        <v>13</v>
      </c>
      <c r="G68" s="23" t="s">
        <v>20</v>
      </c>
      <c r="H68" s="7">
        <v>0.25</v>
      </c>
      <c r="I68" s="23" t="s">
        <v>582</v>
      </c>
      <c r="J68" s="7" t="s">
        <v>13</v>
      </c>
      <c r="K68" s="23" t="s">
        <v>583</v>
      </c>
      <c r="L68" s="7" t="s">
        <v>13</v>
      </c>
      <c r="M68" s="23" t="s">
        <v>884</v>
      </c>
      <c r="N68" s="7">
        <v>40.239999999999995</v>
      </c>
      <c r="O68" s="6" t="s">
        <v>12</v>
      </c>
      <c r="P68" s="42" t="s">
        <v>20</v>
      </c>
      <c r="Q68" s="39" t="s">
        <v>20</v>
      </c>
      <c r="R68" s="42" t="s">
        <v>20</v>
      </c>
      <c r="S68" s="39" t="s">
        <v>20</v>
      </c>
      <c r="T68" s="24" t="s">
        <v>1306</v>
      </c>
    </row>
    <row r="69" spans="1:20" x14ac:dyDescent="0.3">
      <c r="A69" s="17">
        <v>68</v>
      </c>
      <c r="B69" s="23" t="s">
        <v>667</v>
      </c>
      <c r="C69" s="45">
        <v>8777</v>
      </c>
      <c r="D69" s="23" t="s">
        <v>600</v>
      </c>
      <c r="E69" s="6" t="s">
        <v>52</v>
      </c>
      <c r="F69" s="7" t="s">
        <v>13</v>
      </c>
      <c r="G69" s="23" t="s">
        <v>20</v>
      </c>
      <c r="H69" s="7">
        <v>4</v>
      </c>
      <c r="I69" s="23" t="s">
        <v>582</v>
      </c>
      <c r="J69" s="7" t="s">
        <v>13</v>
      </c>
      <c r="K69" s="23" t="s">
        <v>583</v>
      </c>
      <c r="L69" s="7" t="s">
        <v>13</v>
      </c>
      <c r="M69" s="23" t="s">
        <v>884</v>
      </c>
      <c r="N69" s="7">
        <v>25</v>
      </c>
      <c r="O69" s="6" t="s">
        <v>12</v>
      </c>
      <c r="P69" s="42" t="s">
        <v>20</v>
      </c>
      <c r="Q69" s="39" t="s">
        <v>20</v>
      </c>
      <c r="R69" s="42" t="s">
        <v>20</v>
      </c>
      <c r="S69" s="39" t="s">
        <v>20</v>
      </c>
      <c r="T69" s="24" t="s">
        <v>1312</v>
      </c>
    </row>
    <row r="70" spans="1:20" x14ac:dyDescent="0.3">
      <c r="A70" s="17">
        <v>69</v>
      </c>
      <c r="B70" s="23" t="s">
        <v>668</v>
      </c>
      <c r="C70" s="6" t="s">
        <v>669</v>
      </c>
      <c r="D70" s="23" t="s">
        <v>591</v>
      </c>
      <c r="E70" s="6" t="s">
        <v>61</v>
      </c>
      <c r="F70" s="7" t="s">
        <v>13</v>
      </c>
      <c r="G70" s="23" t="s">
        <v>20</v>
      </c>
      <c r="H70" s="23">
        <v>6.3</v>
      </c>
      <c r="I70" s="23" t="s">
        <v>582</v>
      </c>
      <c r="J70" s="7" t="s">
        <v>13</v>
      </c>
      <c r="K70" s="23" t="s">
        <v>583</v>
      </c>
      <c r="L70" s="7" t="s">
        <v>13</v>
      </c>
      <c r="M70" s="23" t="s">
        <v>884</v>
      </c>
      <c r="N70" s="23">
        <v>11.34</v>
      </c>
      <c r="O70" s="6" t="s">
        <v>12</v>
      </c>
      <c r="P70" s="42"/>
      <c r="Q70" s="39"/>
      <c r="R70" s="42"/>
      <c r="S70" s="39"/>
      <c r="T70" s="24" t="s">
        <v>670</v>
      </c>
    </row>
    <row r="71" spans="1:20" x14ac:dyDescent="0.3">
      <c r="A71" s="17">
        <v>70</v>
      </c>
      <c r="B71" s="23" t="s">
        <v>671</v>
      </c>
      <c r="C71" s="6" t="s">
        <v>672</v>
      </c>
      <c r="D71" s="23" t="s">
        <v>591</v>
      </c>
      <c r="E71" s="6" t="s">
        <v>61</v>
      </c>
      <c r="F71" s="7" t="s">
        <v>13</v>
      </c>
      <c r="G71" s="23" t="s">
        <v>20</v>
      </c>
      <c r="H71" s="23">
        <v>5.8</v>
      </c>
      <c r="I71" s="23" t="s">
        <v>582</v>
      </c>
      <c r="J71" s="7" t="s">
        <v>13</v>
      </c>
      <c r="K71" s="23" t="s">
        <v>583</v>
      </c>
      <c r="L71" s="7" t="s">
        <v>13</v>
      </c>
      <c r="M71" s="23" t="s">
        <v>884</v>
      </c>
      <c r="N71" s="23">
        <v>3.0199999999999996</v>
      </c>
      <c r="O71" s="6" t="s">
        <v>12</v>
      </c>
      <c r="P71" s="42"/>
      <c r="Q71" s="39"/>
      <c r="R71" s="42"/>
      <c r="S71" s="39"/>
      <c r="T71" s="24" t="s">
        <v>1297</v>
      </c>
    </row>
    <row r="72" spans="1:20" x14ac:dyDescent="0.3">
      <c r="A72" s="17">
        <v>71</v>
      </c>
      <c r="B72" s="23" t="s">
        <v>871</v>
      </c>
      <c r="C72" s="45" t="s">
        <v>872</v>
      </c>
      <c r="D72" s="23" t="s">
        <v>600</v>
      </c>
      <c r="E72" s="6" t="s">
        <v>55</v>
      </c>
      <c r="F72" s="7" t="s">
        <v>13</v>
      </c>
      <c r="G72" s="23" t="s">
        <v>20</v>
      </c>
      <c r="H72" s="7">
        <v>0.2</v>
      </c>
      <c r="I72" s="23" t="s">
        <v>582</v>
      </c>
      <c r="J72" s="7" t="s">
        <v>13</v>
      </c>
      <c r="K72" s="23" t="s">
        <v>583</v>
      </c>
      <c r="L72" s="7" t="s">
        <v>13</v>
      </c>
      <c r="M72" s="23" t="s">
        <v>884</v>
      </c>
      <c r="N72" s="7">
        <v>5</v>
      </c>
      <c r="O72" s="6" t="s">
        <v>12</v>
      </c>
      <c r="P72" s="42" t="s">
        <v>20</v>
      </c>
      <c r="Q72" s="39" t="s">
        <v>20</v>
      </c>
      <c r="R72" s="42" t="s">
        <v>20</v>
      </c>
      <c r="S72" s="39" t="s">
        <v>20</v>
      </c>
      <c r="T72" s="24" t="s">
        <v>1304</v>
      </c>
    </row>
    <row r="73" spans="1:20" x14ac:dyDescent="0.3">
      <c r="A73" s="17">
        <v>72</v>
      </c>
      <c r="B73" s="23" t="s">
        <v>873</v>
      </c>
      <c r="C73" s="45" t="s">
        <v>874</v>
      </c>
      <c r="D73" s="23" t="s">
        <v>600</v>
      </c>
      <c r="E73" s="6" t="s">
        <v>875</v>
      </c>
      <c r="F73" s="7" t="s">
        <v>13</v>
      </c>
      <c r="G73" s="23" t="s">
        <v>20</v>
      </c>
      <c r="H73" s="7">
        <v>2</v>
      </c>
      <c r="I73" s="23" t="s">
        <v>582</v>
      </c>
      <c r="J73" s="7" t="s">
        <v>13</v>
      </c>
      <c r="K73" s="23" t="s">
        <v>583</v>
      </c>
      <c r="L73" s="7" t="s">
        <v>13</v>
      </c>
      <c r="M73" s="23" t="s">
        <v>884</v>
      </c>
      <c r="N73" s="7">
        <f>ROUNDUP((10)/0.7457,2)</f>
        <v>13.42</v>
      </c>
      <c r="O73" s="6" t="s">
        <v>12</v>
      </c>
      <c r="P73" s="42">
        <f>ROUNDUP((0.75)/0.7457,2)</f>
        <v>1.01</v>
      </c>
      <c r="Q73" s="39" t="s">
        <v>12</v>
      </c>
      <c r="R73" s="42" t="s">
        <v>20</v>
      </c>
      <c r="S73" s="39" t="s">
        <v>20</v>
      </c>
      <c r="T73" s="24" t="s">
        <v>876</v>
      </c>
    </row>
    <row r="74" spans="1:20" x14ac:dyDescent="0.3">
      <c r="A74" s="17">
        <v>73</v>
      </c>
      <c r="B74" s="23" t="s">
        <v>877</v>
      </c>
      <c r="C74" s="45" t="s">
        <v>878</v>
      </c>
      <c r="D74" s="23" t="s">
        <v>600</v>
      </c>
      <c r="E74" s="6" t="s">
        <v>55</v>
      </c>
      <c r="F74" s="7" t="s">
        <v>13</v>
      </c>
      <c r="G74" s="23" t="s">
        <v>20</v>
      </c>
      <c r="H74" s="7">
        <v>6</v>
      </c>
      <c r="I74" s="23" t="s">
        <v>582</v>
      </c>
      <c r="J74" s="7" t="s">
        <v>13</v>
      </c>
      <c r="K74" s="23" t="s">
        <v>583</v>
      </c>
      <c r="L74" s="7" t="s">
        <v>13</v>
      </c>
      <c r="M74" s="23" t="s">
        <v>884</v>
      </c>
      <c r="N74" s="7">
        <f>ROUNDUP((11)/0.7457,2)</f>
        <v>14.76</v>
      </c>
      <c r="O74" s="6" t="s">
        <v>12</v>
      </c>
      <c r="P74" s="42">
        <f>ROUNDUP((7.5)/0.7457,2)</f>
        <v>10.06</v>
      </c>
      <c r="Q74" s="39" t="s">
        <v>12</v>
      </c>
      <c r="R74" s="42" t="s">
        <v>20</v>
      </c>
      <c r="S74" s="39" t="s">
        <v>20</v>
      </c>
      <c r="T74" s="24" t="s">
        <v>879</v>
      </c>
    </row>
    <row r="75" spans="1:20" x14ac:dyDescent="0.3">
      <c r="A75" s="17">
        <v>74</v>
      </c>
      <c r="B75" s="23" t="s">
        <v>880</v>
      </c>
      <c r="C75" s="45" t="s">
        <v>881</v>
      </c>
      <c r="D75" s="23" t="s">
        <v>600</v>
      </c>
      <c r="E75" s="6" t="s">
        <v>55</v>
      </c>
      <c r="F75" s="7" t="s">
        <v>13</v>
      </c>
      <c r="G75" s="23" t="s">
        <v>20</v>
      </c>
      <c r="H75" s="7">
        <v>0.3</v>
      </c>
      <c r="I75" s="23" t="s">
        <v>582</v>
      </c>
      <c r="J75" s="7" t="s">
        <v>13</v>
      </c>
      <c r="K75" s="23" t="s">
        <v>583</v>
      </c>
      <c r="L75" s="7" t="s">
        <v>13</v>
      </c>
      <c r="M75" s="23" t="s">
        <v>884</v>
      </c>
      <c r="N75" s="7">
        <v>7.5</v>
      </c>
      <c r="O75" s="6" t="s">
        <v>12</v>
      </c>
      <c r="P75" s="42" t="s">
        <v>20</v>
      </c>
      <c r="Q75" s="39" t="s">
        <v>20</v>
      </c>
      <c r="R75" s="42" t="s">
        <v>20</v>
      </c>
      <c r="S75" s="39" t="s">
        <v>20</v>
      </c>
      <c r="T75" s="24" t="s">
        <v>1307</v>
      </c>
    </row>
    <row r="76" spans="1:20" x14ac:dyDescent="0.3">
      <c r="A76" s="17">
        <v>75</v>
      </c>
      <c r="B76" s="23" t="s">
        <v>882</v>
      </c>
      <c r="C76" s="45" t="s">
        <v>883</v>
      </c>
      <c r="D76" s="23" t="s">
        <v>600</v>
      </c>
      <c r="E76" s="6" t="s">
        <v>875</v>
      </c>
      <c r="F76" s="7" t="s">
        <v>13</v>
      </c>
      <c r="G76" s="23" t="s">
        <v>20</v>
      </c>
      <c r="H76" s="7">
        <v>1</v>
      </c>
      <c r="I76" s="23" t="s">
        <v>582</v>
      </c>
      <c r="J76" s="7" t="s">
        <v>13</v>
      </c>
      <c r="K76" s="23" t="s">
        <v>583</v>
      </c>
      <c r="L76" s="7">
        <v>400</v>
      </c>
      <c r="M76" s="23" t="s">
        <v>884</v>
      </c>
      <c r="N76" s="7">
        <f>ROUNDUP((7.5)/0.7457,2)</f>
        <v>10.06</v>
      </c>
      <c r="O76" s="6" t="s">
        <v>12</v>
      </c>
      <c r="P76" s="42">
        <f>ROUNDUP((3)/0.7457,2)</f>
        <v>4.0299999999999994</v>
      </c>
      <c r="Q76" s="39" t="s">
        <v>12</v>
      </c>
      <c r="R76" s="42" t="s">
        <v>20</v>
      </c>
      <c r="S76" s="39" t="s">
        <v>20</v>
      </c>
      <c r="T76" s="24" t="s">
        <v>885</v>
      </c>
    </row>
    <row r="77" spans="1:20" x14ac:dyDescent="0.3">
      <c r="A77" s="17">
        <v>76</v>
      </c>
      <c r="B77" s="23" t="s">
        <v>886</v>
      </c>
      <c r="C77" s="45" t="s">
        <v>887</v>
      </c>
      <c r="D77" s="23" t="s">
        <v>600</v>
      </c>
      <c r="E77" s="6" t="s">
        <v>875</v>
      </c>
      <c r="F77" s="7" t="s">
        <v>13</v>
      </c>
      <c r="G77" s="23" t="s">
        <v>20</v>
      </c>
      <c r="H77" s="7">
        <v>2</v>
      </c>
      <c r="I77" s="23" t="s">
        <v>582</v>
      </c>
      <c r="J77" s="7" t="s">
        <v>13</v>
      </c>
      <c r="K77" s="23" t="s">
        <v>583</v>
      </c>
      <c r="L77" s="7">
        <v>800</v>
      </c>
      <c r="M77" s="23" t="s">
        <v>884</v>
      </c>
      <c r="N77" s="7">
        <f>ROUNDUP((11)/0.7457,2)</f>
        <v>14.76</v>
      </c>
      <c r="O77" s="6" t="s">
        <v>12</v>
      </c>
      <c r="P77" s="42">
        <f>ROUNDUP((3)/0.7457,2)</f>
        <v>4.0299999999999994</v>
      </c>
      <c r="Q77" s="39" t="s">
        <v>12</v>
      </c>
      <c r="R77" s="42" t="s">
        <v>20</v>
      </c>
      <c r="S77" s="39" t="s">
        <v>20</v>
      </c>
      <c r="T77" s="24" t="s">
        <v>885</v>
      </c>
    </row>
    <row r="78" spans="1:20" x14ac:dyDescent="0.3">
      <c r="A78" s="17">
        <v>77</v>
      </c>
      <c r="B78" s="23" t="s">
        <v>888</v>
      </c>
      <c r="C78" s="45" t="s">
        <v>889</v>
      </c>
      <c r="D78" s="23" t="s">
        <v>600</v>
      </c>
      <c r="E78" s="6" t="s">
        <v>890</v>
      </c>
      <c r="F78" s="7" t="s">
        <v>13</v>
      </c>
      <c r="G78" s="23" t="s">
        <v>20</v>
      </c>
      <c r="H78" s="7">
        <v>6</v>
      </c>
      <c r="I78" s="23" t="s">
        <v>582</v>
      </c>
      <c r="J78" s="7" t="s">
        <v>13</v>
      </c>
      <c r="K78" s="23" t="s">
        <v>583</v>
      </c>
      <c r="L78" s="7">
        <v>3000</v>
      </c>
      <c r="M78" s="23" t="s">
        <v>884</v>
      </c>
      <c r="N78" s="7">
        <f>ROUNDUP((30)/0.7457,2)</f>
        <v>40.239999999999995</v>
      </c>
      <c r="O78" s="6" t="s">
        <v>12</v>
      </c>
      <c r="P78" s="42">
        <f>ROUNDUP((2.5)/0.7457,2)</f>
        <v>3.36</v>
      </c>
      <c r="Q78" s="39" t="s">
        <v>12</v>
      </c>
      <c r="R78" s="42" t="s">
        <v>20</v>
      </c>
      <c r="S78" s="39" t="s">
        <v>20</v>
      </c>
      <c r="T78" s="24" t="s">
        <v>891</v>
      </c>
    </row>
    <row r="79" spans="1:20" x14ac:dyDescent="0.3">
      <c r="A79" s="17">
        <v>78</v>
      </c>
      <c r="B79" s="23" t="s">
        <v>892</v>
      </c>
      <c r="C79" s="45" t="s">
        <v>893</v>
      </c>
      <c r="D79" s="23" t="s">
        <v>600</v>
      </c>
      <c r="E79" s="6" t="s">
        <v>894</v>
      </c>
      <c r="F79" s="7" t="s">
        <v>13</v>
      </c>
      <c r="G79" s="23" t="s">
        <v>20</v>
      </c>
      <c r="H79" s="7">
        <v>0.19</v>
      </c>
      <c r="I79" s="23" t="s">
        <v>582</v>
      </c>
      <c r="J79" s="7" t="s">
        <v>13</v>
      </c>
      <c r="K79" s="23" t="s">
        <v>583</v>
      </c>
      <c r="L79" s="7" t="s">
        <v>13</v>
      </c>
      <c r="M79" s="23" t="s">
        <v>884</v>
      </c>
      <c r="N79" s="7">
        <f>ROUNDUP((1.5)/0.7457,2)</f>
        <v>2.0199999999999996</v>
      </c>
      <c r="O79" s="6" t="s">
        <v>12</v>
      </c>
      <c r="P79" s="42">
        <f>ROUNDUP((0.18)/0.7457,2)</f>
        <v>0.25</v>
      </c>
      <c r="Q79" s="39" t="s">
        <v>12</v>
      </c>
      <c r="R79" s="42" t="s">
        <v>20</v>
      </c>
      <c r="S79" s="39" t="s">
        <v>20</v>
      </c>
      <c r="T79" s="24" t="s">
        <v>895</v>
      </c>
    </row>
    <row r="80" spans="1:20" x14ac:dyDescent="0.3">
      <c r="A80" s="17">
        <v>79</v>
      </c>
      <c r="B80" s="23" t="s">
        <v>897</v>
      </c>
      <c r="C80" s="45" t="s">
        <v>896</v>
      </c>
      <c r="D80" s="23" t="s">
        <v>600</v>
      </c>
      <c r="E80" s="6" t="s">
        <v>55</v>
      </c>
      <c r="F80" s="7" t="s">
        <v>13</v>
      </c>
      <c r="G80" s="23" t="s">
        <v>20</v>
      </c>
      <c r="H80" s="7">
        <v>0.71</v>
      </c>
      <c r="I80" s="23" t="s">
        <v>582</v>
      </c>
      <c r="J80" s="7" t="s">
        <v>13</v>
      </c>
      <c r="K80" s="23" t="s">
        <v>583</v>
      </c>
      <c r="L80" s="7" t="s">
        <v>13</v>
      </c>
      <c r="M80" s="23" t="s">
        <v>884</v>
      </c>
      <c r="N80" s="7">
        <f>7.5</f>
        <v>7.5</v>
      </c>
      <c r="O80" s="6" t="s">
        <v>12</v>
      </c>
      <c r="P80" s="42">
        <v>1.5</v>
      </c>
      <c r="Q80" s="39" t="s">
        <v>12</v>
      </c>
      <c r="R80" s="42" t="s">
        <v>20</v>
      </c>
      <c r="S80" s="39" t="s">
        <v>20</v>
      </c>
      <c r="T80" s="24" t="s">
        <v>885</v>
      </c>
    </row>
    <row r="81" spans="1:20" x14ac:dyDescent="0.3">
      <c r="A81" s="17">
        <v>80</v>
      </c>
      <c r="B81" s="23" t="s">
        <v>899</v>
      </c>
      <c r="C81" s="45" t="s">
        <v>898</v>
      </c>
      <c r="D81" s="23" t="s">
        <v>600</v>
      </c>
      <c r="E81" s="6" t="s">
        <v>61</v>
      </c>
      <c r="F81" s="7" t="s">
        <v>13</v>
      </c>
      <c r="G81" s="23" t="s">
        <v>20</v>
      </c>
      <c r="H81" s="7">
        <v>0.56999999999999995</v>
      </c>
      <c r="I81" s="23" t="s">
        <v>582</v>
      </c>
      <c r="J81" s="7" t="s">
        <v>13</v>
      </c>
      <c r="K81" s="23" t="s">
        <v>583</v>
      </c>
      <c r="L81" s="7" t="s">
        <v>13</v>
      </c>
      <c r="M81" s="23" t="s">
        <v>884</v>
      </c>
      <c r="N81" s="7">
        <f xml:space="preserve"> 5.5</f>
        <v>5.5</v>
      </c>
      <c r="O81" s="6" t="s">
        <v>12</v>
      </c>
      <c r="P81" s="42">
        <v>1.5</v>
      </c>
      <c r="Q81" s="39" t="s">
        <v>12</v>
      </c>
      <c r="R81" s="42" t="s">
        <v>20</v>
      </c>
      <c r="S81" s="39" t="s">
        <v>20</v>
      </c>
      <c r="T81" s="24" t="s">
        <v>885</v>
      </c>
    </row>
    <row r="82" spans="1:20" x14ac:dyDescent="0.3">
      <c r="A82" s="17">
        <v>81</v>
      </c>
      <c r="B82" s="23" t="s">
        <v>901</v>
      </c>
      <c r="C82" s="45" t="s">
        <v>900</v>
      </c>
      <c r="D82" s="23" t="s">
        <v>600</v>
      </c>
      <c r="E82" s="6" t="s">
        <v>61</v>
      </c>
      <c r="F82" s="7" t="s">
        <v>13</v>
      </c>
      <c r="G82" s="23" t="s">
        <v>20</v>
      </c>
      <c r="H82" s="7">
        <v>0.95</v>
      </c>
      <c r="I82" s="23" t="s">
        <v>582</v>
      </c>
      <c r="J82" s="7" t="s">
        <v>13</v>
      </c>
      <c r="K82" s="23" t="s">
        <v>583</v>
      </c>
      <c r="L82" s="7" t="s">
        <v>13</v>
      </c>
      <c r="M82" s="23" t="s">
        <v>884</v>
      </c>
      <c r="N82" s="7">
        <f xml:space="preserve"> 7.5</f>
        <v>7.5</v>
      </c>
      <c r="O82" s="6" t="s">
        <v>12</v>
      </c>
      <c r="P82" s="42">
        <v>1.5</v>
      </c>
      <c r="Q82" s="39" t="s">
        <v>12</v>
      </c>
      <c r="R82" s="42" t="s">
        <v>20</v>
      </c>
      <c r="S82" s="39" t="s">
        <v>20</v>
      </c>
      <c r="T82" s="24" t="s">
        <v>885</v>
      </c>
    </row>
    <row r="83" spans="1:20" x14ac:dyDescent="0.3">
      <c r="A83" s="17">
        <v>82</v>
      </c>
      <c r="B83" s="23" t="s">
        <v>902</v>
      </c>
      <c r="C83" s="45" t="s">
        <v>903</v>
      </c>
      <c r="D83" s="23" t="s">
        <v>600</v>
      </c>
      <c r="E83" s="6" t="s">
        <v>875</v>
      </c>
      <c r="F83" s="7" t="s">
        <v>13</v>
      </c>
      <c r="G83" s="23" t="s">
        <v>20</v>
      </c>
      <c r="H83" s="7">
        <v>1.1299999999999999</v>
      </c>
      <c r="I83" s="23" t="s">
        <v>582</v>
      </c>
      <c r="J83" s="7" t="s">
        <v>13</v>
      </c>
      <c r="K83" s="23" t="s">
        <v>583</v>
      </c>
      <c r="L83" s="7" t="s">
        <v>13</v>
      </c>
      <c r="M83" s="23" t="s">
        <v>884</v>
      </c>
      <c r="N83" s="7">
        <f>ROUNDUP((7.5)/0.7457,2)</f>
        <v>10.06</v>
      </c>
      <c r="O83" s="6" t="s">
        <v>12</v>
      </c>
      <c r="P83" s="42" t="s">
        <v>20</v>
      </c>
      <c r="Q83" s="39" t="s">
        <v>20</v>
      </c>
      <c r="R83" s="42" t="s">
        <v>20</v>
      </c>
      <c r="S83" s="39" t="s">
        <v>20</v>
      </c>
      <c r="T83" s="24" t="s">
        <v>904</v>
      </c>
    </row>
    <row r="84" spans="1:20" x14ac:dyDescent="0.3">
      <c r="A84" s="17">
        <v>83</v>
      </c>
      <c r="B84" s="23" t="s">
        <v>905</v>
      </c>
      <c r="C84" s="45" t="s">
        <v>906</v>
      </c>
      <c r="D84" s="23" t="s">
        <v>600</v>
      </c>
      <c r="E84" s="6" t="s">
        <v>870</v>
      </c>
      <c r="F84" s="7" t="s">
        <v>13</v>
      </c>
      <c r="G84" s="23" t="s">
        <v>20</v>
      </c>
      <c r="H84" s="7">
        <v>1.2</v>
      </c>
      <c r="I84" s="23" t="s">
        <v>582</v>
      </c>
      <c r="J84" s="7" t="s">
        <v>13</v>
      </c>
      <c r="K84" s="23" t="s">
        <v>583</v>
      </c>
      <c r="L84" s="7" t="s">
        <v>13</v>
      </c>
      <c r="M84" s="23" t="s">
        <v>884</v>
      </c>
      <c r="N84" s="7">
        <f>ROUNDUP((5.5)/0.7457,2)</f>
        <v>7.38</v>
      </c>
      <c r="O84" s="6" t="s">
        <v>12</v>
      </c>
      <c r="P84" s="42" t="s">
        <v>13</v>
      </c>
      <c r="Q84" s="39" t="s">
        <v>12</v>
      </c>
      <c r="R84" s="42">
        <f>ROUNDUP((1.5)/0.7457,2)</f>
        <v>2.0199999999999996</v>
      </c>
      <c r="S84" s="39" t="s">
        <v>12</v>
      </c>
      <c r="T84" s="24" t="s">
        <v>907</v>
      </c>
    </row>
    <row r="85" spans="1:20" x14ac:dyDescent="0.3">
      <c r="A85" s="17">
        <v>84</v>
      </c>
      <c r="B85" s="23" t="s">
        <v>909</v>
      </c>
      <c r="C85" s="45" t="s">
        <v>908</v>
      </c>
      <c r="D85" s="23" t="s">
        <v>600</v>
      </c>
      <c r="E85" s="6" t="s">
        <v>910</v>
      </c>
      <c r="F85" s="7" t="s">
        <v>13</v>
      </c>
      <c r="G85" s="23" t="s">
        <v>20</v>
      </c>
      <c r="H85" s="7">
        <v>1.2</v>
      </c>
      <c r="I85" s="23" t="s">
        <v>582</v>
      </c>
      <c r="J85" s="7" t="s">
        <v>13</v>
      </c>
      <c r="K85" s="23" t="s">
        <v>583</v>
      </c>
      <c r="L85" s="7" t="s">
        <v>13</v>
      </c>
      <c r="M85" s="23" t="s">
        <v>884</v>
      </c>
      <c r="N85" s="7">
        <v>18</v>
      </c>
      <c r="O85" s="6" t="s">
        <v>12</v>
      </c>
      <c r="P85" s="42" t="s">
        <v>20</v>
      </c>
      <c r="Q85" s="39" t="s">
        <v>20</v>
      </c>
      <c r="R85" s="42" t="s">
        <v>20</v>
      </c>
      <c r="S85" s="39" t="s">
        <v>20</v>
      </c>
      <c r="T85" s="24" t="s">
        <v>1309</v>
      </c>
    </row>
    <row r="86" spans="1:20" x14ac:dyDescent="0.3">
      <c r="A86" s="17">
        <v>85</v>
      </c>
      <c r="B86" s="23" t="s">
        <v>912</v>
      </c>
      <c r="C86" s="45" t="s">
        <v>911</v>
      </c>
      <c r="D86" s="23" t="s">
        <v>600</v>
      </c>
      <c r="E86" s="6" t="s">
        <v>55</v>
      </c>
      <c r="F86" s="7" t="s">
        <v>13</v>
      </c>
      <c r="G86" s="23" t="s">
        <v>20</v>
      </c>
      <c r="H86" s="7">
        <v>3</v>
      </c>
      <c r="I86" s="23" t="s">
        <v>582</v>
      </c>
      <c r="J86" s="7" t="s">
        <v>13</v>
      </c>
      <c r="K86" s="23" t="s">
        <v>583</v>
      </c>
      <c r="L86" s="7" t="s">
        <v>13</v>
      </c>
      <c r="M86" s="23" t="s">
        <v>884</v>
      </c>
      <c r="N86" s="7">
        <f>ROUNDUP((11)/0.7457,2)</f>
        <v>14.76</v>
      </c>
      <c r="O86" s="6" t="s">
        <v>12</v>
      </c>
      <c r="P86" s="42">
        <f>ROUNDUP((2.5)/0.7457,2)</f>
        <v>3.36</v>
      </c>
      <c r="Q86" s="39" t="s">
        <v>12</v>
      </c>
      <c r="R86" s="42" t="s">
        <v>20</v>
      </c>
      <c r="S86" s="39" t="s">
        <v>20</v>
      </c>
      <c r="T86" s="24" t="s">
        <v>1310</v>
      </c>
    </row>
    <row r="87" spans="1:20" x14ac:dyDescent="0.3">
      <c r="A87" s="17">
        <v>86</v>
      </c>
      <c r="B87" s="23" t="s">
        <v>914</v>
      </c>
      <c r="C87" s="45" t="s">
        <v>913</v>
      </c>
      <c r="D87" s="23" t="s">
        <v>600</v>
      </c>
      <c r="E87" s="6" t="s">
        <v>55</v>
      </c>
      <c r="F87" s="7" t="s">
        <v>13</v>
      </c>
      <c r="G87" s="23" t="s">
        <v>20</v>
      </c>
      <c r="H87" s="7">
        <v>0.19</v>
      </c>
      <c r="I87" s="23" t="s">
        <v>582</v>
      </c>
      <c r="J87" s="7" t="s">
        <v>13</v>
      </c>
      <c r="K87" s="23" t="s">
        <v>583</v>
      </c>
      <c r="L87" s="7" t="s">
        <v>13</v>
      </c>
      <c r="M87" s="23" t="s">
        <v>884</v>
      </c>
      <c r="N87" s="7">
        <v>3</v>
      </c>
      <c r="O87" s="6" t="s">
        <v>12</v>
      </c>
      <c r="P87" s="42">
        <v>5</v>
      </c>
      <c r="Q87" s="39" t="s">
        <v>12</v>
      </c>
      <c r="R87" s="42" t="s">
        <v>20</v>
      </c>
      <c r="S87" s="39" t="s">
        <v>20</v>
      </c>
      <c r="T87" s="24" t="s">
        <v>915</v>
      </c>
    </row>
    <row r="88" spans="1:20" x14ac:dyDescent="0.3">
      <c r="A88" s="17">
        <v>87</v>
      </c>
      <c r="B88" s="23" t="s">
        <v>917</v>
      </c>
      <c r="C88" s="45" t="s">
        <v>916</v>
      </c>
      <c r="D88" s="23" t="s">
        <v>600</v>
      </c>
      <c r="E88" s="6" t="s">
        <v>61</v>
      </c>
      <c r="F88" s="7" t="s">
        <v>13</v>
      </c>
      <c r="G88" s="23" t="s">
        <v>20</v>
      </c>
      <c r="H88" s="7">
        <v>10</v>
      </c>
      <c r="I88" s="23" t="s">
        <v>582</v>
      </c>
      <c r="J88" s="7" t="s">
        <v>13</v>
      </c>
      <c r="K88" s="23" t="s">
        <v>583</v>
      </c>
      <c r="L88" s="7" t="s">
        <v>13</v>
      </c>
      <c r="M88" s="23" t="s">
        <v>884</v>
      </c>
      <c r="N88" s="7">
        <f>ROUNDUP((22)/0.7457,2)</f>
        <v>29.51</v>
      </c>
      <c r="O88" s="6" t="s">
        <v>12</v>
      </c>
      <c r="P88" s="42">
        <f>ROUNDUP((2.2)/0.7457,2)</f>
        <v>2.96</v>
      </c>
      <c r="Q88" s="39" t="s">
        <v>12</v>
      </c>
      <c r="R88" s="42" t="s">
        <v>20</v>
      </c>
      <c r="S88" s="39" t="s">
        <v>20</v>
      </c>
      <c r="T88" s="24" t="s">
        <v>918</v>
      </c>
    </row>
    <row r="89" spans="1:20" x14ac:dyDescent="0.3">
      <c r="A89" s="17">
        <v>88</v>
      </c>
      <c r="B89" s="23" t="s">
        <v>920</v>
      </c>
      <c r="C89" s="45" t="s">
        <v>919</v>
      </c>
      <c r="D89" s="23" t="s">
        <v>600</v>
      </c>
      <c r="E89" s="6" t="s">
        <v>55</v>
      </c>
      <c r="F89" s="7" t="s">
        <v>13</v>
      </c>
      <c r="G89" s="23" t="s">
        <v>20</v>
      </c>
      <c r="H89" s="7">
        <v>1</v>
      </c>
      <c r="I89" s="23" t="s">
        <v>582</v>
      </c>
      <c r="J89" s="7" t="s">
        <v>13</v>
      </c>
      <c r="K89" s="23" t="s">
        <v>583</v>
      </c>
      <c r="L89" s="7" t="s">
        <v>13</v>
      </c>
      <c r="M89" s="23" t="s">
        <v>884</v>
      </c>
      <c r="N89" s="7">
        <f>ROUNDUP((4)/0.7457,2)</f>
        <v>5.37</v>
      </c>
      <c r="O89" s="6" t="s">
        <v>12</v>
      </c>
      <c r="P89" s="42">
        <f>ROUNDUP((2.2)/0.7457,2)</f>
        <v>2.96</v>
      </c>
      <c r="Q89" s="39" t="s">
        <v>12</v>
      </c>
      <c r="R89" s="42" t="s">
        <v>20</v>
      </c>
      <c r="S89" s="39" t="s">
        <v>20</v>
      </c>
      <c r="T89" s="24" t="s">
        <v>907</v>
      </c>
    </row>
    <row r="90" spans="1:20" x14ac:dyDescent="0.3">
      <c r="A90" s="17">
        <v>89</v>
      </c>
      <c r="B90" s="23" t="s">
        <v>922</v>
      </c>
      <c r="C90" s="6" t="s">
        <v>921</v>
      </c>
      <c r="D90" s="23" t="s">
        <v>591</v>
      </c>
      <c r="E90" s="6" t="s">
        <v>61</v>
      </c>
      <c r="F90" s="7" t="s">
        <v>13</v>
      </c>
      <c r="G90" s="23" t="s">
        <v>20</v>
      </c>
      <c r="H90" s="7">
        <v>24</v>
      </c>
      <c r="I90" s="23" t="s">
        <v>582</v>
      </c>
      <c r="J90" s="7" t="s">
        <v>13</v>
      </c>
      <c r="K90" s="23" t="s">
        <v>583</v>
      </c>
      <c r="L90" s="7" t="s">
        <v>13</v>
      </c>
      <c r="M90" s="23" t="s">
        <v>884</v>
      </c>
      <c r="N90" s="7">
        <f>ROUNDUP((2.2 + 11)/0.7457,2)</f>
        <v>17.71</v>
      </c>
      <c r="O90" s="6" t="s">
        <v>12</v>
      </c>
      <c r="P90" s="42"/>
      <c r="Q90" s="39"/>
      <c r="R90" s="42"/>
      <c r="S90" s="39"/>
      <c r="T90" s="24" t="s">
        <v>923</v>
      </c>
    </row>
    <row r="91" spans="1:20" x14ac:dyDescent="0.3">
      <c r="A91" s="17">
        <v>90</v>
      </c>
      <c r="B91" s="23" t="s">
        <v>925</v>
      </c>
      <c r="C91" s="6" t="s">
        <v>924</v>
      </c>
      <c r="D91" s="23" t="s">
        <v>591</v>
      </c>
      <c r="E91" s="6" t="s">
        <v>61</v>
      </c>
      <c r="F91" s="7" t="s">
        <v>13</v>
      </c>
      <c r="G91" s="23" t="s">
        <v>20</v>
      </c>
      <c r="H91" s="7">
        <v>20</v>
      </c>
      <c r="I91" s="23" t="s">
        <v>582</v>
      </c>
      <c r="J91" s="7" t="s">
        <v>13</v>
      </c>
      <c r="K91" s="23" t="s">
        <v>583</v>
      </c>
      <c r="L91" s="7" t="s">
        <v>13</v>
      </c>
      <c r="M91" s="23" t="s">
        <v>884</v>
      </c>
      <c r="N91" s="7">
        <f>ROUNDUP((1.5 + 0.25 + 18.5)/0.7457,2)</f>
        <v>27.16</v>
      </c>
      <c r="O91" s="6" t="s">
        <v>12</v>
      </c>
      <c r="P91" s="42"/>
      <c r="Q91" s="39"/>
      <c r="R91" s="42"/>
      <c r="S91" s="39"/>
      <c r="T91" s="24" t="s">
        <v>926</v>
      </c>
    </row>
    <row r="92" spans="1:20" x14ac:dyDescent="0.3">
      <c r="A92" s="17">
        <v>91</v>
      </c>
      <c r="B92" s="23" t="s">
        <v>928</v>
      </c>
      <c r="C92" s="6" t="s">
        <v>927</v>
      </c>
      <c r="D92" s="23" t="s">
        <v>591</v>
      </c>
      <c r="E92" s="6" t="s">
        <v>52</v>
      </c>
      <c r="F92" s="7" t="s">
        <v>13</v>
      </c>
      <c r="G92" s="23" t="s">
        <v>20</v>
      </c>
      <c r="H92" s="7">
        <v>6</v>
      </c>
      <c r="I92" s="23" t="s">
        <v>582</v>
      </c>
      <c r="J92" s="7" t="s">
        <v>13</v>
      </c>
      <c r="K92" s="23" t="s">
        <v>583</v>
      </c>
      <c r="L92" s="7" t="s">
        <v>13</v>
      </c>
      <c r="M92" s="23" t="s">
        <v>884</v>
      </c>
      <c r="N92" s="7">
        <f>ROUNDUP((0.18 + 5.5)/0.7457,2)</f>
        <v>7.62</v>
      </c>
      <c r="O92" s="6" t="s">
        <v>12</v>
      </c>
      <c r="P92" s="42"/>
      <c r="Q92" s="39"/>
      <c r="R92" s="42"/>
      <c r="S92" s="39"/>
      <c r="T92" s="24" t="s">
        <v>929</v>
      </c>
    </row>
    <row r="93" spans="1:20" x14ac:dyDescent="0.3">
      <c r="A93" s="17">
        <v>92</v>
      </c>
      <c r="B93" s="23" t="s">
        <v>931</v>
      </c>
      <c r="C93" s="6" t="s">
        <v>930</v>
      </c>
      <c r="D93" s="23" t="s">
        <v>591</v>
      </c>
      <c r="E93" s="6" t="s">
        <v>52</v>
      </c>
      <c r="F93" s="7" t="s">
        <v>13</v>
      </c>
      <c r="G93" s="23" t="s">
        <v>20</v>
      </c>
      <c r="H93" s="7">
        <v>6</v>
      </c>
      <c r="I93" s="23" t="s">
        <v>582</v>
      </c>
      <c r="J93" s="7" t="s">
        <v>13</v>
      </c>
      <c r="K93" s="23" t="s">
        <v>583</v>
      </c>
      <c r="L93" s="7" t="s">
        <v>13</v>
      </c>
      <c r="M93" s="23" t="s">
        <v>884</v>
      </c>
      <c r="N93" s="7">
        <f>ROUNDUP((0.55 + 0.09 + 5.5)/0.7457,2)</f>
        <v>8.24</v>
      </c>
      <c r="O93" s="6" t="s">
        <v>12</v>
      </c>
      <c r="P93" s="42"/>
      <c r="Q93" s="39"/>
      <c r="R93" s="42"/>
      <c r="S93" s="39"/>
      <c r="T93" s="24" t="s">
        <v>926</v>
      </c>
    </row>
    <row r="94" spans="1:20" x14ac:dyDescent="0.3">
      <c r="A94" s="17">
        <v>93</v>
      </c>
      <c r="B94" s="23" t="s">
        <v>933</v>
      </c>
      <c r="C94" s="6" t="s">
        <v>932</v>
      </c>
      <c r="D94" s="23" t="s">
        <v>591</v>
      </c>
      <c r="E94" s="6" t="s">
        <v>44</v>
      </c>
      <c r="F94" s="7" t="s">
        <v>13</v>
      </c>
      <c r="G94" s="23" t="s">
        <v>20</v>
      </c>
      <c r="H94" s="7">
        <v>1</v>
      </c>
      <c r="I94" s="23" t="s">
        <v>582</v>
      </c>
      <c r="J94" s="7" t="s">
        <v>13</v>
      </c>
      <c r="K94" s="23" t="s">
        <v>583</v>
      </c>
      <c r="L94" s="7" t="s">
        <v>13</v>
      </c>
      <c r="M94" s="23" t="s">
        <v>884</v>
      </c>
      <c r="N94" s="7">
        <f>ROUNDUP((0.75 + 0.18 + 1.5 + 2.2)/0.7457,2)</f>
        <v>6.21</v>
      </c>
      <c r="O94" s="6" t="s">
        <v>12</v>
      </c>
      <c r="P94" s="42"/>
      <c r="Q94" s="39"/>
      <c r="R94" s="42"/>
      <c r="S94" s="39"/>
      <c r="T94" s="24" t="s">
        <v>934</v>
      </c>
    </row>
    <row r="95" spans="1:20" x14ac:dyDescent="0.3">
      <c r="A95" s="17">
        <v>94</v>
      </c>
      <c r="B95" s="23" t="s">
        <v>936</v>
      </c>
      <c r="C95" s="6" t="s">
        <v>935</v>
      </c>
      <c r="D95" s="23" t="s">
        <v>591</v>
      </c>
      <c r="E95" s="6" t="s">
        <v>61</v>
      </c>
      <c r="F95" s="7" t="s">
        <v>13</v>
      </c>
      <c r="G95" s="23" t="s">
        <v>20</v>
      </c>
      <c r="H95" s="7">
        <v>0.25</v>
      </c>
      <c r="I95" s="23" t="s">
        <v>582</v>
      </c>
      <c r="J95" s="7" t="s">
        <v>13</v>
      </c>
      <c r="K95" s="23" t="s">
        <v>583</v>
      </c>
      <c r="L95" s="7" t="s">
        <v>13</v>
      </c>
      <c r="M95" s="23" t="s">
        <v>884</v>
      </c>
      <c r="N95" s="7">
        <f>ROUNDUP((0.25 + 0.11 + 1.1)/0.7457,2)</f>
        <v>1.96</v>
      </c>
      <c r="O95" s="6" t="s">
        <v>12</v>
      </c>
      <c r="P95" s="42"/>
      <c r="Q95" s="39"/>
      <c r="R95" s="42"/>
      <c r="S95" s="39"/>
      <c r="T95" s="24" t="s">
        <v>934</v>
      </c>
    </row>
    <row r="96" spans="1:20" x14ac:dyDescent="0.3">
      <c r="A96" s="17">
        <v>95</v>
      </c>
      <c r="B96" s="23" t="s">
        <v>938</v>
      </c>
      <c r="C96" s="6" t="s">
        <v>937</v>
      </c>
      <c r="D96" s="23" t="s">
        <v>591</v>
      </c>
      <c r="E96" s="6" t="s">
        <v>52</v>
      </c>
      <c r="F96" s="7" t="s">
        <v>13</v>
      </c>
      <c r="G96" s="23" t="s">
        <v>20</v>
      </c>
      <c r="H96" s="7">
        <v>8</v>
      </c>
      <c r="I96" s="23" t="s">
        <v>582</v>
      </c>
      <c r="J96" s="7" t="s">
        <v>13</v>
      </c>
      <c r="K96" s="23" t="s">
        <v>583</v>
      </c>
      <c r="L96" s="7" t="s">
        <v>13</v>
      </c>
      <c r="M96" s="23" t="s">
        <v>884</v>
      </c>
      <c r="N96" s="7">
        <f>ROUNDUP((2.2 + 1.1 + 11)/0.7457,2)</f>
        <v>19.180000000000003</v>
      </c>
      <c r="O96" s="6" t="s">
        <v>12</v>
      </c>
      <c r="P96" s="42"/>
      <c r="Q96" s="39"/>
      <c r="R96" s="42"/>
      <c r="S96" s="39"/>
      <c r="T96" s="24" t="s">
        <v>934</v>
      </c>
    </row>
    <row r="97" spans="1:20" x14ac:dyDescent="0.3">
      <c r="A97" s="17">
        <v>96</v>
      </c>
      <c r="B97" s="23" t="s">
        <v>940</v>
      </c>
      <c r="C97" s="6" t="s">
        <v>939</v>
      </c>
      <c r="D97" s="23" t="s">
        <v>591</v>
      </c>
      <c r="E97" s="6" t="s">
        <v>41</v>
      </c>
      <c r="F97" s="7" t="s">
        <v>13</v>
      </c>
      <c r="G97" s="23" t="s">
        <v>20</v>
      </c>
      <c r="H97" s="7">
        <f>ROUNDUP(250*0.3048^2,2)</f>
        <v>23.23</v>
      </c>
      <c r="I97" s="23" t="s">
        <v>582</v>
      </c>
      <c r="J97" s="7" t="s">
        <v>13</v>
      </c>
      <c r="K97" s="23" t="s">
        <v>583</v>
      </c>
      <c r="L97" s="7" t="s">
        <v>13</v>
      </c>
      <c r="M97" s="23" t="s">
        <v>884</v>
      </c>
      <c r="N97" s="7">
        <f>ROUNDUP((1.5 + 2 + 50),2)</f>
        <v>53.5</v>
      </c>
      <c r="O97" s="6" t="s">
        <v>12</v>
      </c>
      <c r="P97" s="42"/>
      <c r="Q97" s="39"/>
      <c r="R97" s="42"/>
      <c r="S97" s="39"/>
      <c r="T97" s="24" t="s">
        <v>941</v>
      </c>
    </row>
    <row r="98" spans="1:20" x14ac:dyDescent="0.3">
      <c r="A98" s="17">
        <v>97</v>
      </c>
      <c r="B98" s="23" t="s">
        <v>943</v>
      </c>
      <c r="C98" s="6" t="s">
        <v>942</v>
      </c>
      <c r="D98" s="23" t="s">
        <v>591</v>
      </c>
      <c r="E98" s="6" t="s">
        <v>41</v>
      </c>
      <c r="F98" s="7" t="s">
        <v>13</v>
      </c>
      <c r="G98" s="23" t="s">
        <v>20</v>
      </c>
      <c r="H98" s="7">
        <f>ROUNDUP(226*0.3048^2,2)</f>
        <v>21</v>
      </c>
      <c r="I98" s="23" t="s">
        <v>582</v>
      </c>
      <c r="J98" s="7" t="s">
        <v>13</v>
      </c>
      <c r="K98" s="23" t="s">
        <v>583</v>
      </c>
      <c r="L98" s="7" t="s">
        <v>13</v>
      </c>
      <c r="M98" s="23" t="s">
        <v>884</v>
      </c>
      <c r="N98" s="7">
        <f>1.5 + 40</f>
        <v>41.5</v>
      </c>
      <c r="O98" s="6" t="s">
        <v>12</v>
      </c>
      <c r="P98" s="42"/>
      <c r="Q98" s="39"/>
      <c r="R98" s="42"/>
      <c r="S98" s="39"/>
      <c r="T98" s="24" t="s">
        <v>929</v>
      </c>
    </row>
    <row r="99" spans="1:20" x14ac:dyDescent="0.3">
      <c r="A99" s="17">
        <v>98</v>
      </c>
      <c r="B99" s="23" t="s">
        <v>945</v>
      </c>
      <c r="C99" s="6" t="s">
        <v>944</v>
      </c>
      <c r="D99" s="23" t="s">
        <v>591</v>
      </c>
      <c r="E99" s="6" t="s">
        <v>13</v>
      </c>
      <c r="F99" s="7" t="s">
        <v>13</v>
      </c>
      <c r="G99" s="23" t="s">
        <v>20</v>
      </c>
      <c r="H99" s="7">
        <f>ROUNDUP(PI()*3*3*0.3048^2,2)</f>
        <v>2.63</v>
      </c>
      <c r="I99" s="23" t="s">
        <v>582</v>
      </c>
      <c r="J99" s="7" t="s">
        <v>13</v>
      </c>
      <c r="K99" s="23" t="s">
        <v>583</v>
      </c>
      <c r="L99" s="7" t="s">
        <v>13</v>
      </c>
      <c r="M99" s="23" t="s">
        <v>884</v>
      </c>
      <c r="N99" s="7">
        <f xml:space="preserve"> 20 + 0.25</f>
        <v>20.25</v>
      </c>
      <c r="O99" s="6" t="s">
        <v>12</v>
      </c>
      <c r="P99" s="42"/>
      <c r="Q99" s="39"/>
      <c r="R99" s="42"/>
      <c r="S99" s="39"/>
      <c r="T99" s="24" t="s">
        <v>929</v>
      </c>
    </row>
    <row r="100" spans="1:20" x14ac:dyDescent="0.3">
      <c r="A100" s="17">
        <v>99</v>
      </c>
      <c r="B100" s="23" t="s">
        <v>946</v>
      </c>
      <c r="C100" s="6" t="s">
        <v>947</v>
      </c>
      <c r="D100" s="23" t="s">
        <v>580</v>
      </c>
      <c r="E100" s="6" t="s">
        <v>581</v>
      </c>
      <c r="F100" s="7" t="s">
        <v>13</v>
      </c>
      <c r="G100" s="23" t="s">
        <v>20</v>
      </c>
      <c r="H100" s="7">
        <v>46.8</v>
      </c>
      <c r="I100" s="23" t="s">
        <v>582</v>
      </c>
      <c r="J100" s="7" t="s">
        <v>13</v>
      </c>
      <c r="K100" s="23" t="s">
        <v>583</v>
      </c>
      <c r="L100" s="7">
        <v>530</v>
      </c>
      <c r="M100" s="23" t="s">
        <v>884</v>
      </c>
      <c r="N100" s="7">
        <f>ROUNDUP((1.5)/0.7457,2)</f>
        <v>2.0199999999999996</v>
      </c>
      <c r="O100" s="6" t="s">
        <v>12</v>
      </c>
      <c r="P100" s="42"/>
      <c r="Q100" s="39"/>
      <c r="R100" s="42"/>
      <c r="S100" s="39"/>
      <c r="T100" s="24" t="s">
        <v>948</v>
      </c>
    </row>
    <row r="101" spans="1:20" x14ac:dyDescent="0.3">
      <c r="A101" s="17">
        <v>100</v>
      </c>
      <c r="B101" s="23" t="s">
        <v>949</v>
      </c>
      <c r="C101" s="6" t="s">
        <v>950</v>
      </c>
      <c r="D101" s="23" t="s">
        <v>580</v>
      </c>
      <c r="E101" s="6" t="s">
        <v>55</v>
      </c>
      <c r="F101" s="7" t="s">
        <v>13</v>
      </c>
      <c r="G101" s="23" t="s">
        <v>20</v>
      </c>
      <c r="H101" s="7">
        <v>96</v>
      </c>
      <c r="I101" s="23" t="s">
        <v>582</v>
      </c>
      <c r="J101" s="7" t="s">
        <v>13</v>
      </c>
      <c r="K101" s="23" t="s">
        <v>583</v>
      </c>
      <c r="L101" s="7" t="s">
        <v>13</v>
      </c>
      <c r="M101" s="23" t="s">
        <v>884</v>
      </c>
      <c r="N101" s="7">
        <f>ROUNDUP((90)/0.7457,2)</f>
        <v>120.7</v>
      </c>
      <c r="O101" s="6" t="s">
        <v>12</v>
      </c>
      <c r="P101" s="42"/>
      <c r="Q101" s="39"/>
      <c r="R101" s="42"/>
      <c r="S101" s="39"/>
      <c r="T101" s="24" t="s">
        <v>951</v>
      </c>
    </row>
    <row r="102" spans="1:20" x14ac:dyDescent="0.3">
      <c r="A102" s="17">
        <v>101</v>
      </c>
      <c r="B102" s="23" t="s">
        <v>952</v>
      </c>
      <c r="C102" s="6" t="s">
        <v>953</v>
      </c>
      <c r="D102" s="23" t="s">
        <v>580</v>
      </c>
      <c r="E102" s="6" t="s">
        <v>55</v>
      </c>
      <c r="F102" s="7" t="s">
        <v>13</v>
      </c>
      <c r="G102" s="23" t="s">
        <v>20</v>
      </c>
      <c r="H102" s="7">
        <v>160</v>
      </c>
      <c r="I102" s="23" t="s">
        <v>582</v>
      </c>
      <c r="J102" s="7" t="s">
        <v>13</v>
      </c>
      <c r="K102" s="23" t="s">
        <v>583</v>
      </c>
      <c r="L102" s="7" t="s">
        <v>13</v>
      </c>
      <c r="M102" s="23" t="s">
        <v>884</v>
      </c>
      <c r="N102" s="7">
        <f>ROUNDUP((37)/0.7457,2)</f>
        <v>49.62</v>
      </c>
      <c r="O102" s="6" t="s">
        <v>12</v>
      </c>
      <c r="P102" s="42"/>
      <c r="Q102" s="39"/>
      <c r="R102" s="42"/>
      <c r="S102" s="39"/>
      <c r="T102" s="24" t="s">
        <v>954</v>
      </c>
    </row>
    <row r="103" spans="1:20" x14ac:dyDescent="0.3">
      <c r="A103" s="17">
        <v>102</v>
      </c>
      <c r="B103" s="23" t="s">
        <v>955</v>
      </c>
      <c r="C103" s="6" t="s">
        <v>956</v>
      </c>
      <c r="D103" s="23" t="s">
        <v>580</v>
      </c>
      <c r="E103" s="6" t="s">
        <v>581</v>
      </c>
      <c r="F103" s="7" t="s">
        <v>13</v>
      </c>
      <c r="G103" s="23" t="s">
        <v>20</v>
      </c>
      <c r="H103" s="7">
        <v>111.9</v>
      </c>
      <c r="I103" s="23" t="s">
        <v>582</v>
      </c>
      <c r="J103" s="7" t="s">
        <v>13</v>
      </c>
      <c r="K103" s="23" t="s">
        <v>583</v>
      </c>
      <c r="L103" s="7" t="s">
        <v>13</v>
      </c>
      <c r="M103" s="23" t="s">
        <v>884</v>
      </c>
      <c r="N103" s="7">
        <f>ROUNDUP( 4/0.7457,2)</f>
        <v>5.37</v>
      </c>
      <c r="O103" s="6" t="s">
        <v>12</v>
      </c>
      <c r="P103" s="42"/>
      <c r="Q103" s="39"/>
      <c r="R103" s="42"/>
      <c r="S103" s="39"/>
      <c r="T103" s="24" t="s">
        <v>957</v>
      </c>
    </row>
    <row r="104" spans="1:20" x14ac:dyDescent="0.3">
      <c r="A104" s="17">
        <v>103</v>
      </c>
      <c r="B104" s="23" t="s">
        <v>959</v>
      </c>
      <c r="C104" s="6" t="s">
        <v>958</v>
      </c>
      <c r="D104" s="23" t="s">
        <v>580</v>
      </c>
      <c r="E104" s="6" t="s">
        <v>960</v>
      </c>
      <c r="F104" s="7" t="s">
        <v>13</v>
      </c>
      <c r="G104" s="23" t="s">
        <v>20</v>
      </c>
      <c r="H104" s="7">
        <v>53</v>
      </c>
      <c r="I104" s="23" t="s">
        <v>582</v>
      </c>
      <c r="J104" s="7" t="s">
        <v>13</v>
      </c>
      <c r="K104" s="23" t="s">
        <v>583</v>
      </c>
      <c r="L104" s="7" t="s">
        <v>13</v>
      </c>
      <c r="M104" s="23" t="s">
        <v>884</v>
      </c>
      <c r="N104" s="7">
        <f>ROUNDUP( 2/0.7457,2)</f>
        <v>2.69</v>
      </c>
      <c r="O104" s="6" t="s">
        <v>12</v>
      </c>
      <c r="P104" s="42"/>
      <c r="Q104" s="39"/>
      <c r="R104" s="42"/>
      <c r="S104" s="39"/>
      <c r="T104" s="24" t="s">
        <v>961</v>
      </c>
    </row>
    <row r="105" spans="1:20" x14ac:dyDescent="0.3">
      <c r="A105" s="17">
        <v>104</v>
      </c>
      <c r="B105" s="23" t="s">
        <v>963</v>
      </c>
      <c r="C105" s="6" t="s">
        <v>962</v>
      </c>
      <c r="D105" s="23" t="s">
        <v>580</v>
      </c>
      <c r="E105" s="6" t="s">
        <v>581</v>
      </c>
      <c r="F105" s="7" t="s">
        <v>13</v>
      </c>
      <c r="G105" s="23" t="s">
        <v>20</v>
      </c>
      <c r="H105" s="7">
        <v>8.6999999999999993</v>
      </c>
      <c r="I105" s="23" t="s">
        <v>582</v>
      </c>
      <c r="J105" s="7" t="s">
        <v>13</v>
      </c>
      <c r="K105" s="23" t="s">
        <v>583</v>
      </c>
      <c r="L105" s="7">
        <v>90</v>
      </c>
      <c r="M105" s="23" t="s">
        <v>884</v>
      </c>
      <c r="N105" s="7">
        <f>ROUNDUP( 1.5/0.7457,2)</f>
        <v>2.0199999999999996</v>
      </c>
      <c r="O105" s="6" t="s">
        <v>12</v>
      </c>
      <c r="P105" s="42"/>
      <c r="Q105" s="39"/>
      <c r="R105" s="42"/>
      <c r="S105" s="39"/>
      <c r="T105" s="24" t="s">
        <v>964</v>
      </c>
    </row>
    <row r="106" spans="1:20" x14ac:dyDescent="0.3">
      <c r="A106" s="17">
        <v>105</v>
      </c>
      <c r="B106" s="23" t="s">
        <v>966</v>
      </c>
      <c r="C106" s="6" t="s">
        <v>965</v>
      </c>
      <c r="D106" s="23" t="s">
        <v>580</v>
      </c>
      <c r="E106" s="6" t="s">
        <v>13</v>
      </c>
      <c r="F106" s="7" t="s">
        <v>13</v>
      </c>
      <c r="G106" s="23" t="s">
        <v>20</v>
      </c>
      <c r="H106" s="7">
        <v>86.5</v>
      </c>
      <c r="I106" s="23" t="s">
        <v>582</v>
      </c>
      <c r="J106" s="7" t="s">
        <v>13</v>
      </c>
      <c r="K106" s="23" t="s">
        <v>583</v>
      </c>
      <c r="L106" s="7" t="s">
        <v>13</v>
      </c>
      <c r="M106" s="23" t="s">
        <v>884</v>
      </c>
      <c r="N106" s="7">
        <f>ROUNDUP( 15/0.7457,2)</f>
        <v>20.12</v>
      </c>
      <c r="O106" s="6" t="s">
        <v>12</v>
      </c>
      <c r="P106" s="42"/>
      <c r="Q106" s="39"/>
      <c r="R106" s="42"/>
      <c r="S106" s="39"/>
      <c r="T106" s="24" t="s">
        <v>967</v>
      </c>
    </row>
    <row r="107" spans="1:20" x14ac:dyDescent="0.3">
      <c r="A107" s="17">
        <v>106</v>
      </c>
      <c r="B107" s="23" t="s">
        <v>969</v>
      </c>
      <c r="C107" s="6" t="s">
        <v>968</v>
      </c>
      <c r="D107" s="23" t="s">
        <v>580</v>
      </c>
      <c r="E107" s="6" t="s">
        <v>581</v>
      </c>
      <c r="F107" s="7" t="s">
        <v>13</v>
      </c>
      <c r="G107" s="23" t="s">
        <v>20</v>
      </c>
      <c r="H107" s="7">
        <f>ROUNDUP(2109*0.3048^2,2)</f>
        <v>195.94</v>
      </c>
      <c r="I107" s="23" t="s">
        <v>582</v>
      </c>
      <c r="J107" s="7" t="s">
        <v>13</v>
      </c>
      <c r="K107" s="23" t="s">
        <v>583</v>
      </c>
      <c r="L107" s="7">
        <v>100</v>
      </c>
      <c r="M107" s="23" t="s">
        <v>884</v>
      </c>
      <c r="N107" s="7">
        <v>10</v>
      </c>
      <c r="O107" s="6" t="s">
        <v>12</v>
      </c>
      <c r="P107" s="42"/>
      <c r="Q107" s="39"/>
      <c r="R107" s="42"/>
      <c r="S107" s="39"/>
      <c r="T107" s="24" t="s">
        <v>970</v>
      </c>
    </row>
    <row r="108" spans="1:20" x14ac:dyDescent="0.3">
      <c r="A108" s="17">
        <v>107</v>
      </c>
      <c r="B108" s="23" t="s">
        <v>972</v>
      </c>
      <c r="C108" s="6" t="s">
        <v>971</v>
      </c>
      <c r="D108" s="23" t="s">
        <v>580</v>
      </c>
      <c r="E108" s="6" t="s">
        <v>973</v>
      </c>
      <c r="F108" s="7" t="s">
        <v>13</v>
      </c>
      <c r="G108" s="23" t="s">
        <v>20</v>
      </c>
      <c r="H108" s="7">
        <f>ROUNDUP(1880*0.3048^2,2)</f>
        <v>174.66</v>
      </c>
      <c r="I108" s="23" t="s">
        <v>582</v>
      </c>
      <c r="J108" s="7" t="s">
        <v>13</v>
      </c>
      <c r="K108" s="23" t="s">
        <v>583</v>
      </c>
      <c r="L108" s="7">
        <f>ROUNDUP(80*0.3048^3,2)</f>
        <v>2.2699999999999996</v>
      </c>
      <c r="M108" s="23" t="s">
        <v>884</v>
      </c>
      <c r="N108" s="7">
        <f xml:space="preserve"> 3 +25</f>
        <v>28</v>
      </c>
      <c r="O108" s="6" t="s">
        <v>12</v>
      </c>
      <c r="P108" s="42"/>
      <c r="Q108" s="39"/>
      <c r="R108" s="42"/>
      <c r="S108" s="39"/>
      <c r="T108" s="24" t="s">
        <v>974</v>
      </c>
    </row>
    <row r="109" spans="1:20" x14ac:dyDescent="0.3">
      <c r="A109" s="17">
        <v>108</v>
      </c>
      <c r="B109" s="23" t="s">
        <v>976</v>
      </c>
      <c r="C109" s="6" t="s">
        <v>975</v>
      </c>
      <c r="D109" s="23" t="s">
        <v>580</v>
      </c>
      <c r="E109" s="6" t="s">
        <v>973</v>
      </c>
      <c r="F109" s="7" t="s">
        <v>13</v>
      </c>
      <c r="G109" s="23" t="s">
        <v>20</v>
      </c>
      <c r="H109" s="7">
        <v>11.56</v>
      </c>
      <c r="I109" s="23" t="s">
        <v>582</v>
      </c>
      <c r="J109" s="7" t="s">
        <v>13</v>
      </c>
      <c r="K109" s="23" t="s">
        <v>583</v>
      </c>
      <c r="L109" s="7" t="s">
        <v>13</v>
      </c>
      <c r="M109" s="23" t="s">
        <v>884</v>
      </c>
      <c r="N109" s="7">
        <f>ROUNDUP( 7.5/0.7457,2)</f>
        <v>10.06</v>
      </c>
      <c r="O109" s="6" t="s">
        <v>12</v>
      </c>
      <c r="P109" s="42"/>
      <c r="Q109" s="39"/>
      <c r="R109" s="42"/>
      <c r="S109" s="39"/>
      <c r="T109" s="24" t="s">
        <v>967</v>
      </c>
    </row>
    <row r="110" spans="1:20" x14ac:dyDescent="0.3">
      <c r="A110" s="17">
        <v>109</v>
      </c>
      <c r="B110" s="23" t="s">
        <v>977</v>
      </c>
      <c r="C110" s="45" t="s">
        <v>978</v>
      </c>
      <c r="D110" s="23" t="s">
        <v>600</v>
      </c>
      <c r="E110" s="6" t="s">
        <v>890</v>
      </c>
      <c r="F110" s="7" t="s">
        <v>13</v>
      </c>
      <c r="G110" s="23" t="s">
        <v>20</v>
      </c>
      <c r="H110" s="7">
        <v>0.25</v>
      </c>
      <c r="I110" s="23" t="s">
        <v>582</v>
      </c>
      <c r="J110" s="7" t="s">
        <v>13</v>
      </c>
      <c r="K110" s="23" t="s">
        <v>583</v>
      </c>
      <c r="L110" s="7">
        <f>ROUNDUP(19.9*3.78541,2)</f>
        <v>75.33</v>
      </c>
      <c r="M110" s="23" t="s">
        <v>884</v>
      </c>
      <c r="N110" s="7">
        <f>7.5</f>
        <v>7.5</v>
      </c>
      <c r="O110" s="6" t="s">
        <v>12</v>
      </c>
      <c r="P110" s="42" t="s">
        <v>20</v>
      </c>
      <c r="Q110" s="39" t="s">
        <v>20</v>
      </c>
      <c r="R110" s="42" t="s">
        <v>20</v>
      </c>
      <c r="S110" s="39" t="s">
        <v>20</v>
      </c>
      <c r="T110" s="24" t="s">
        <v>979</v>
      </c>
    </row>
    <row r="111" spans="1:20" x14ac:dyDescent="0.3">
      <c r="A111" s="17">
        <v>110</v>
      </c>
      <c r="B111" s="23" t="s">
        <v>981</v>
      </c>
      <c r="C111" s="45" t="s">
        <v>980</v>
      </c>
      <c r="D111" s="23" t="s">
        <v>600</v>
      </c>
      <c r="E111" s="6" t="s">
        <v>982</v>
      </c>
      <c r="F111" s="7" t="s">
        <v>13</v>
      </c>
      <c r="G111" s="23" t="s">
        <v>20</v>
      </c>
      <c r="H111" s="7">
        <v>0.5</v>
      </c>
      <c r="I111" s="23" t="s">
        <v>582</v>
      </c>
      <c r="J111" s="7" t="s">
        <v>13</v>
      </c>
      <c r="K111" s="23" t="s">
        <v>583</v>
      </c>
      <c r="L111" s="7" t="s">
        <v>13</v>
      </c>
      <c r="M111" s="23" t="s">
        <v>884</v>
      </c>
      <c r="N111" s="7">
        <v>7.5</v>
      </c>
      <c r="O111" s="6" t="s">
        <v>12</v>
      </c>
      <c r="P111" s="42" t="s">
        <v>20</v>
      </c>
      <c r="Q111" s="39" t="s">
        <v>20</v>
      </c>
      <c r="R111" s="42" t="s">
        <v>20</v>
      </c>
      <c r="S111" s="39" t="s">
        <v>20</v>
      </c>
      <c r="T111" s="24" t="s">
        <v>1308</v>
      </c>
    </row>
    <row r="112" spans="1:20" x14ac:dyDescent="0.3">
      <c r="A112" s="17">
        <v>111</v>
      </c>
      <c r="B112" s="23" t="s">
        <v>984</v>
      </c>
      <c r="C112" s="45" t="s">
        <v>983</v>
      </c>
      <c r="D112" s="23" t="s">
        <v>600</v>
      </c>
      <c r="E112" s="6" t="s">
        <v>875</v>
      </c>
      <c r="F112" s="7" t="s">
        <v>13</v>
      </c>
      <c r="G112" s="23" t="s">
        <v>20</v>
      </c>
      <c r="H112" s="7">
        <v>5</v>
      </c>
      <c r="I112" s="23" t="s">
        <v>582</v>
      </c>
      <c r="J112" s="7" t="s">
        <v>13</v>
      </c>
      <c r="K112" s="23" t="s">
        <v>583</v>
      </c>
      <c r="L112" s="7" t="s">
        <v>13</v>
      </c>
      <c r="M112" s="23" t="s">
        <v>884</v>
      </c>
      <c r="N112" s="7">
        <v>50</v>
      </c>
      <c r="O112" s="6" t="s">
        <v>12</v>
      </c>
      <c r="P112" s="42" t="s">
        <v>20</v>
      </c>
      <c r="Q112" s="39" t="s">
        <v>20</v>
      </c>
      <c r="R112" s="42" t="s">
        <v>20</v>
      </c>
      <c r="S112" s="39" t="s">
        <v>20</v>
      </c>
      <c r="T112" s="24" t="s">
        <v>985</v>
      </c>
    </row>
    <row r="113" spans="1:20" x14ac:dyDescent="0.3">
      <c r="A113" s="17">
        <v>112</v>
      </c>
      <c r="B113" s="23" t="s">
        <v>987</v>
      </c>
      <c r="C113" s="45" t="s">
        <v>986</v>
      </c>
      <c r="D113" s="23" t="s">
        <v>600</v>
      </c>
      <c r="E113" s="6" t="s">
        <v>875</v>
      </c>
      <c r="F113" s="7" t="s">
        <v>13</v>
      </c>
      <c r="G113" s="23" t="s">
        <v>20</v>
      </c>
      <c r="H113" s="7">
        <v>6</v>
      </c>
      <c r="I113" s="23" t="s">
        <v>582</v>
      </c>
      <c r="J113" s="7" t="s">
        <v>13</v>
      </c>
      <c r="K113" s="23" t="s">
        <v>583</v>
      </c>
      <c r="L113" s="7" t="s">
        <v>13</v>
      </c>
      <c r="M113" s="23" t="s">
        <v>884</v>
      </c>
      <c r="N113" s="7">
        <f>25</f>
        <v>25</v>
      </c>
      <c r="O113" s="6" t="s">
        <v>12</v>
      </c>
      <c r="P113" s="42">
        <v>5</v>
      </c>
      <c r="Q113" s="39" t="s">
        <v>12</v>
      </c>
      <c r="R113" s="42" t="s">
        <v>20</v>
      </c>
      <c r="S113" s="39" t="s">
        <v>20</v>
      </c>
      <c r="T113" s="24" t="s">
        <v>988</v>
      </c>
    </row>
    <row r="114" spans="1:20" x14ac:dyDescent="0.3">
      <c r="A114" s="17">
        <v>113</v>
      </c>
      <c r="B114" s="23" t="s">
        <v>989</v>
      </c>
      <c r="C114" s="45">
        <v>8347</v>
      </c>
      <c r="D114" s="23" t="s">
        <v>600</v>
      </c>
      <c r="E114" s="6" t="s">
        <v>55</v>
      </c>
      <c r="F114" s="7" t="s">
        <v>13</v>
      </c>
      <c r="G114" s="23" t="s">
        <v>20</v>
      </c>
      <c r="H114" s="7">
        <v>2.4</v>
      </c>
      <c r="I114" s="23" t="s">
        <v>582</v>
      </c>
      <c r="J114" s="7" t="s">
        <v>13</v>
      </c>
      <c r="K114" s="23" t="s">
        <v>583</v>
      </c>
      <c r="L114" s="7" t="s">
        <v>13</v>
      </c>
      <c r="M114" s="23" t="s">
        <v>884</v>
      </c>
      <c r="N114" s="7">
        <f xml:space="preserve"> 7.5 + 5</f>
        <v>12.5</v>
      </c>
      <c r="O114" s="6" t="s">
        <v>12</v>
      </c>
      <c r="P114" s="42">
        <v>3</v>
      </c>
      <c r="Q114" s="39" t="s">
        <v>12</v>
      </c>
      <c r="R114" s="42" t="s">
        <v>20</v>
      </c>
      <c r="S114" s="39" t="s">
        <v>20</v>
      </c>
      <c r="T114" s="24" t="s">
        <v>990</v>
      </c>
    </row>
    <row r="115" spans="1:20" x14ac:dyDescent="0.3">
      <c r="A115" s="17">
        <v>114</v>
      </c>
      <c r="B115" s="23" t="s">
        <v>992</v>
      </c>
      <c r="C115" s="45" t="s">
        <v>991</v>
      </c>
      <c r="D115" s="23" t="s">
        <v>600</v>
      </c>
      <c r="E115" s="6" t="s">
        <v>55</v>
      </c>
      <c r="F115" s="7" t="s">
        <v>13</v>
      </c>
      <c r="G115" s="23" t="s">
        <v>20</v>
      </c>
      <c r="H115" s="7">
        <v>3</v>
      </c>
      <c r="I115" s="23" t="s">
        <v>582</v>
      </c>
      <c r="J115" s="7" t="s">
        <v>13</v>
      </c>
      <c r="K115" s="23" t="s">
        <v>583</v>
      </c>
      <c r="L115" s="7" t="s">
        <v>13</v>
      </c>
      <c r="M115" s="23" t="s">
        <v>884</v>
      </c>
      <c r="N115" s="7">
        <f>ROUNDUP((18)/0.7457,2)</f>
        <v>24.14</v>
      </c>
      <c r="O115" s="6" t="s">
        <v>12</v>
      </c>
      <c r="P115" s="42">
        <f>ROUNDUP((2.2)/0.7457,2)</f>
        <v>2.96</v>
      </c>
      <c r="Q115" s="39" t="s">
        <v>12</v>
      </c>
      <c r="R115" s="42" t="s">
        <v>20</v>
      </c>
      <c r="S115" s="39" t="s">
        <v>20</v>
      </c>
      <c r="T115" s="24" t="s">
        <v>993</v>
      </c>
    </row>
    <row r="116" spans="1:20" x14ac:dyDescent="0.3">
      <c r="A116" s="17">
        <v>115</v>
      </c>
      <c r="B116" s="23" t="s">
        <v>994</v>
      </c>
      <c r="C116" s="45" t="s">
        <v>995</v>
      </c>
      <c r="D116" s="23" t="s">
        <v>600</v>
      </c>
      <c r="E116" s="6" t="s">
        <v>890</v>
      </c>
      <c r="F116" s="7" t="s">
        <v>13</v>
      </c>
      <c r="G116" s="23" t="s">
        <v>20</v>
      </c>
      <c r="H116" s="7">
        <v>0.3</v>
      </c>
      <c r="I116" s="23" t="s">
        <v>582</v>
      </c>
      <c r="J116" s="7" t="s">
        <v>13</v>
      </c>
      <c r="K116" s="23" t="s">
        <v>583</v>
      </c>
      <c r="L116" s="7">
        <v>135</v>
      </c>
      <c r="M116" s="23" t="s">
        <v>884</v>
      </c>
      <c r="N116" s="7">
        <v>10</v>
      </c>
      <c r="O116" s="6" t="s">
        <v>12</v>
      </c>
      <c r="P116" s="42" t="s">
        <v>20</v>
      </c>
      <c r="Q116" s="39" t="s">
        <v>20</v>
      </c>
      <c r="R116" s="42" t="s">
        <v>20</v>
      </c>
      <c r="S116" s="39" t="s">
        <v>20</v>
      </c>
      <c r="T116" s="24" t="s">
        <v>996</v>
      </c>
    </row>
    <row r="117" spans="1:20" x14ac:dyDescent="0.3">
      <c r="A117" s="17">
        <v>116</v>
      </c>
      <c r="B117" s="23" t="s">
        <v>998</v>
      </c>
      <c r="C117" s="45" t="s">
        <v>997</v>
      </c>
      <c r="D117" s="23" t="s">
        <v>600</v>
      </c>
      <c r="E117" s="6" t="s">
        <v>875</v>
      </c>
      <c r="F117" s="7" t="s">
        <v>13</v>
      </c>
      <c r="G117" s="23" t="s">
        <v>20</v>
      </c>
      <c r="H117" s="7">
        <v>0.2</v>
      </c>
      <c r="I117" s="23" t="s">
        <v>582</v>
      </c>
      <c r="J117" s="7" t="s">
        <v>13</v>
      </c>
      <c r="K117" s="23" t="s">
        <v>583</v>
      </c>
      <c r="L117" s="7">
        <v>60</v>
      </c>
      <c r="M117" s="23" t="s">
        <v>884</v>
      </c>
      <c r="N117" s="7">
        <f>ROUNDUP( (7.5)/0.7457,2)</f>
        <v>10.06</v>
      </c>
      <c r="O117" s="6" t="s">
        <v>12</v>
      </c>
      <c r="P117" s="42" t="s">
        <v>20</v>
      </c>
      <c r="Q117" s="39" t="s">
        <v>20</v>
      </c>
      <c r="R117" s="42" t="s">
        <v>20</v>
      </c>
      <c r="S117" s="39" t="s">
        <v>20</v>
      </c>
      <c r="T117" s="24" t="s">
        <v>1305</v>
      </c>
    </row>
    <row r="118" spans="1:20" x14ac:dyDescent="0.3">
      <c r="A118" s="17">
        <v>117</v>
      </c>
      <c r="B118" s="23" t="s">
        <v>1040</v>
      </c>
      <c r="C118" s="45" t="s">
        <v>999</v>
      </c>
      <c r="D118" s="23" t="s">
        <v>600</v>
      </c>
      <c r="E118" s="6" t="s">
        <v>1039</v>
      </c>
      <c r="F118" s="7" t="s">
        <v>13</v>
      </c>
      <c r="G118" s="23" t="s">
        <v>20</v>
      </c>
      <c r="H118" s="7">
        <v>1</v>
      </c>
      <c r="I118" s="23" t="s">
        <v>582</v>
      </c>
      <c r="J118" s="7" t="s">
        <v>13</v>
      </c>
      <c r="K118" s="23" t="s">
        <v>583</v>
      </c>
      <c r="L118" s="7">
        <v>475</v>
      </c>
      <c r="M118" s="23" t="s">
        <v>884</v>
      </c>
      <c r="N118" s="7">
        <f>ROUNDUP((5)/0.7457,2)</f>
        <v>6.71</v>
      </c>
      <c r="O118" s="6" t="s">
        <v>12</v>
      </c>
      <c r="P118" s="42">
        <f>ROUNDUP((0.75 + 2.2)/0.7457,2)</f>
        <v>3.96</v>
      </c>
      <c r="Q118" s="39" t="s">
        <v>12</v>
      </c>
      <c r="R118" s="42" t="s">
        <v>20</v>
      </c>
      <c r="S118" s="39" t="s">
        <v>20</v>
      </c>
      <c r="T118" s="24" t="s">
        <v>1000</v>
      </c>
    </row>
    <row r="119" spans="1:20" x14ac:dyDescent="0.3">
      <c r="A119" s="17">
        <v>118</v>
      </c>
      <c r="B119" s="23" t="s">
        <v>1002</v>
      </c>
      <c r="C119" s="45" t="s">
        <v>1001</v>
      </c>
      <c r="D119" s="23" t="s">
        <v>600</v>
      </c>
      <c r="E119" s="6" t="s">
        <v>875</v>
      </c>
      <c r="F119" s="7" t="s">
        <v>13</v>
      </c>
      <c r="G119" s="23" t="s">
        <v>20</v>
      </c>
      <c r="H119" s="7">
        <v>0.26</v>
      </c>
      <c r="I119" s="23" t="s">
        <v>582</v>
      </c>
      <c r="J119" s="7" t="s">
        <v>13</v>
      </c>
      <c r="K119" s="23" t="s">
        <v>583</v>
      </c>
      <c r="L119" s="7" t="s">
        <v>13</v>
      </c>
      <c r="M119" s="23" t="s">
        <v>884</v>
      </c>
      <c r="N119" s="7">
        <f>ROUNDUP( (1.5)/0.7457,2)</f>
        <v>2.0199999999999996</v>
      </c>
      <c r="O119" s="6" t="s">
        <v>12</v>
      </c>
      <c r="P119" s="42" t="s">
        <v>20</v>
      </c>
      <c r="Q119" s="39" t="s">
        <v>20</v>
      </c>
      <c r="R119" s="42" t="s">
        <v>20</v>
      </c>
      <c r="S119" s="39" t="s">
        <v>20</v>
      </c>
      <c r="T119" s="24" t="s">
        <v>1003</v>
      </c>
    </row>
    <row r="120" spans="1:20" x14ac:dyDescent="0.3">
      <c r="A120" s="17">
        <v>119</v>
      </c>
      <c r="B120" s="23" t="s">
        <v>1005</v>
      </c>
      <c r="C120" s="45" t="s">
        <v>1004</v>
      </c>
      <c r="D120" s="23" t="s">
        <v>600</v>
      </c>
      <c r="E120" s="6" t="s">
        <v>55</v>
      </c>
      <c r="F120" s="7" t="s">
        <v>13</v>
      </c>
      <c r="G120" s="23" t="s">
        <v>20</v>
      </c>
      <c r="H120" s="7">
        <v>0.3</v>
      </c>
      <c r="I120" s="23" t="s">
        <v>582</v>
      </c>
      <c r="J120" s="7" t="s">
        <v>13</v>
      </c>
      <c r="K120" s="23" t="s">
        <v>583</v>
      </c>
      <c r="L120" s="7" t="s">
        <v>13</v>
      </c>
      <c r="M120" s="23" t="s">
        <v>884</v>
      </c>
      <c r="N120" s="7">
        <f>ROUNDUP( (4)/0.7457,2)</f>
        <v>5.37</v>
      </c>
      <c r="O120" s="6" t="s">
        <v>12</v>
      </c>
      <c r="P120" s="42">
        <f>ROUNDUP( (0.25)/0.7457,2)</f>
        <v>0.34</v>
      </c>
      <c r="Q120" s="39" t="s">
        <v>12</v>
      </c>
      <c r="R120" s="42">
        <f>ROUNDUP((0.75)/0.7457,2)</f>
        <v>1.01</v>
      </c>
      <c r="S120" s="39" t="s">
        <v>12</v>
      </c>
      <c r="T120" s="24" t="s">
        <v>1006</v>
      </c>
    </row>
    <row r="121" spans="1:20" x14ac:dyDescent="0.3">
      <c r="A121" s="17">
        <v>120</v>
      </c>
      <c r="B121" s="23" t="s">
        <v>1008</v>
      </c>
      <c r="C121" s="45" t="s">
        <v>1007</v>
      </c>
      <c r="D121" s="23" t="s">
        <v>600</v>
      </c>
      <c r="E121" s="6" t="s">
        <v>55</v>
      </c>
      <c r="F121" s="7" t="s">
        <v>13</v>
      </c>
      <c r="G121" s="23" t="s">
        <v>20</v>
      </c>
      <c r="H121" s="7">
        <v>0.4</v>
      </c>
      <c r="I121" s="23" t="s">
        <v>582</v>
      </c>
      <c r="J121" s="7" t="s">
        <v>13</v>
      </c>
      <c r="K121" s="23" t="s">
        <v>583</v>
      </c>
      <c r="L121" s="7">
        <v>120</v>
      </c>
      <c r="M121" s="23" t="s">
        <v>884</v>
      </c>
      <c r="N121" s="7">
        <f>ROUNDUP( (2.2)/0.7457,2)</f>
        <v>2.96</v>
      </c>
      <c r="O121" s="6" t="s">
        <v>12</v>
      </c>
      <c r="P121" s="42" t="s">
        <v>20</v>
      </c>
      <c r="Q121" s="39" t="s">
        <v>20</v>
      </c>
      <c r="R121" s="42" t="s">
        <v>20</v>
      </c>
      <c r="S121" s="39" t="s">
        <v>20</v>
      </c>
      <c r="T121" s="24" t="s">
        <v>1009</v>
      </c>
    </row>
    <row r="122" spans="1:20" x14ac:dyDescent="0.3">
      <c r="A122" s="17">
        <v>121</v>
      </c>
      <c r="B122" s="23" t="s">
        <v>1011</v>
      </c>
      <c r="C122" s="45" t="s">
        <v>1010</v>
      </c>
      <c r="D122" s="23" t="s">
        <v>600</v>
      </c>
      <c r="E122" s="6" t="s">
        <v>55</v>
      </c>
      <c r="F122" s="7" t="s">
        <v>13</v>
      </c>
      <c r="G122" s="23" t="s">
        <v>20</v>
      </c>
      <c r="H122" s="7">
        <v>1.6</v>
      </c>
      <c r="I122" s="23" t="s">
        <v>582</v>
      </c>
      <c r="J122" s="7" t="s">
        <v>13</v>
      </c>
      <c r="K122" s="23" t="s">
        <v>583</v>
      </c>
      <c r="L122" s="7" t="s">
        <v>13</v>
      </c>
      <c r="M122" s="23" t="s">
        <v>884</v>
      </c>
      <c r="N122" s="7">
        <f>ROUNDUP( (15)/0.7457,2)</f>
        <v>20.12</v>
      </c>
      <c r="O122" s="6" t="s">
        <v>12</v>
      </c>
      <c r="P122" s="42">
        <f>ROUNDUP((4)/0.7457,2)</f>
        <v>5.37</v>
      </c>
      <c r="Q122" s="39" t="s">
        <v>12</v>
      </c>
      <c r="R122" s="42" t="s">
        <v>20</v>
      </c>
      <c r="S122" s="39" t="s">
        <v>20</v>
      </c>
      <c r="T122" s="24" t="s">
        <v>1012</v>
      </c>
    </row>
    <row r="123" spans="1:20" x14ac:dyDescent="0.3">
      <c r="A123" s="17">
        <v>122</v>
      </c>
      <c r="B123" s="23" t="s">
        <v>1014</v>
      </c>
      <c r="C123" s="45" t="s">
        <v>1013</v>
      </c>
      <c r="D123" s="23" t="s">
        <v>600</v>
      </c>
      <c r="E123" s="6" t="s">
        <v>875</v>
      </c>
      <c r="F123" s="7" t="s">
        <v>13</v>
      </c>
      <c r="G123" s="23" t="s">
        <v>20</v>
      </c>
      <c r="H123" s="7">
        <v>2</v>
      </c>
      <c r="I123" s="23" t="s">
        <v>582</v>
      </c>
      <c r="J123" s="7" t="s">
        <v>13</v>
      </c>
      <c r="K123" s="23" t="s">
        <v>583</v>
      </c>
      <c r="L123" s="7">
        <v>700</v>
      </c>
      <c r="M123" s="23" t="s">
        <v>884</v>
      </c>
      <c r="N123" s="7">
        <f>ROUNDUP((21)/0.7457,2)</f>
        <v>28.17</v>
      </c>
      <c r="O123" s="6" t="s">
        <v>12</v>
      </c>
      <c r="P123" s="42">
        <f>ROUNDUP((7.5)/0.7457,2)</f>
        <v>10.06</v>
      </c>
      <c r="Q123" s="39" t="s">
        <v>12</v>
      </c>
      <c r="R123" s="42" t="s">
        <v>20</v>
      </c>
      <c r="S123" s="39" t="s">
        <v>20</v>
      </c>
      <c r="T123" s="24" t="s">
        <v>1015</v>
      </c>
    </row>
    <row r="124" spans="1:20" x14ac:dyDescent="0.3">
      <c r="A124" s="17">
        <v>123</v>
      </c>
      <c r="B124" s="23" t="s">
        <v>1017</v>
      </c>
      <c r="C124" s="45" t="s">
        <v>1016</v>
      </c>
      <c r="D124" s="23" t="s">
        <v>600</v>
      </c>
      <c r="E124" s="6" t="s">
        <v>55</v>
      </c>
      <c r="F124" s="7" t="s">
        <v>13</v>
      </c>
      <c r="G124" s="23" t="s">
        <v>20</v>
      </c>
      <c r="H124" s="7">
        <v>0.22</v>
      </c>
      <c r="I124" s="23" t="s">
        <v>582</v>
      </c>
      <c r="J124" s="7" t="s">
        <v>13</v>
      </c>
      <c r="K124" s="23" t="s">
        <v>583</v>
      </c>
      <c r="L124" s="7" t="s">
        <v>13</v>
      </c>
      <c r="M124" s="23" t="s">
        <v>884</v>
      </c>
      <c r="N124" s="7">
        <f xml:space="preserve"> 3</f>
        <v>3</v>
      </c>
      <c r="O124" s="6" t="s">
        <v>12</v>
      </c>
      <c r="P124" s="42">
        <v>1.5</v>
      </c>
      <c r="Q124" s="39" t="s">
        <v>12</v>
      </c>
      <c r="R124" s="42" t="s">
        <v>20</v>
      </c>
      <c r="S124" s="39" t="s">
        <v>20</v>
      </c>
      <c r="T124" s="24" t="s">
        <v>993</v>
      </c>
    </row>
    <row r="125" spans="1:20" x14ac:dyDescent="0.3">
      <c r="A125" s="17">
        <v>124</v>
      </c>
      <c r="B125" s="23" t="s">
        <v>1019</v>
      </c>
      <c r="C125" s="45" t="s">
        <v>1018</v>
      </c>
      <c r="D125" s="23" t="s">
        <v>600</v>
      </c>
      <c r="E125" s="6" t="s">
        <v>1020</v>
      </c>
      <c r="F125" s="7" t="s">
        <v>13</v>
      </c>
      <c r="G125" s="23" t="s">
        <v>20</v>
      </c>
      <c r="H125" s="7">
        <v>0.6</v>
      </c>
      <c r="I125" s="23" t="s">
        <v>582</v>
      </c>
      <c r="J125" s="7" t="s">
        <v>13</v>
      </c>
      <c r="K125" s="23" t="s">
        <v>583</v>
      </c>
      <c r="L125" s="7" t="s">
        <v>13</v>
      </c>
      <c r="M125" s="23" t="s">
        <v>884</v>
      </c>
      <c r="N125" s="7">
        <f>ROUNDUP((3)/0.7457,2)</f>
        <v>4.0299999999999994</v>
      </c>
      <c r="O125" s="6" t="s">
        <v>12</v>
      </c>
      <c r="P125" s="42">
        <f>ROUNDUP((2.2)/0.7457,2)</f>
        <v>2.96</v>
      </c>
      <c r="Q125" s="39" t="s">
        <v>12</v>
      </c>
      <c r="R125" s="42" t="s">
        <v>20</v>
      </c>
      <c r="S125" s="39" t="s">
        <v>20</v>
      </c>
      <c r="T125" s="24" t="s">
        <v>1021</v>
      </c>
    </row>
    <row r="126" spans="1:20" x14ac:dyDescent="0.3">
      <c r="A126" s="17">
        <v>125</v>
      </c>
      <c r="B126" s="23" t="s">
        <v>1023</v>
      </c>
      <c r="C126" s="45" t="s">
        <v>1022</v>
      </c>
      <c r="D126" s="23" t="s">
        <v>600</v>
      </c>
      <c r="E126" s="6" t="s">
        <v>55</v>
      </c>
      <c r="F126" s="7" t="s">
        <v>13</v>
      </c>
      <c r="G126" s="23" t="s">
        <v>20</v>
      </c>
      <c r="H126" s="7">
        <v>3</v>
      </c>
      <c r="I126" s="23" t="s">
        <v>582</v>
      </c>
      <c r="J126" s="7" t="s">
        <v>13</v>
      </c>
      <c r="K126" s="23" t="s">
        <v>583</v>
      </c>
      <c r="L126" s="7" t="s">
        <v>13</v>
      </c>
      <c r="M126" s="23" t="s">
        <v>884</v>
      </c>
      <c r="N126" s="7">
        <v>40</v>
      </c>
      <c r="O126" s="6" t="s">
        <v>12</v>
      </c>
      <c r="P126" s="42" t="s">
        <v>20</v>
      </c>
      <c r="Q126" s="39" t="s">
        <v>20</v>
      </c>
      <c r="R126" s="42" t="s">
        <v>20</v>
      </c>
      <c r="S126" s="39" t="s">
        <v>20</v>
      </c>
      <c r="T126" s="24" t="s">
        <v>1024</v>
      </c>
    </row>
    <row r="127" spans="1:20" x14ac:dyDescent="0.3">
      <c r="A127" s="17">
        <v>126</v>
      </c>
      <c r="B127" s="23" t="s">
        <v>1026</v>
      </c>
      <c r="C127" s="45" t="s">
        <v>1025</v>
      </c>
      <c r="D127" s="23" t="s">
        <v>600</v>
      </c>
      <c r="E127" s="6" t="s">
        <v>44</v>
      </c>
      <c r="F127" s="7" t="s">
        <v>13</v>
      </c>
      <c r="G127" s="23" t="s">
        <v>20</v>
      </c>
      <c r="H127" s="7">
        <v>0.27</v>
      </c>
      <c r="I127" s="23" t="s">
        <v>582</v>
      </c>
      <c r="J127" s="7" t="s">
        <v>13</v>
      </c>
      <c r="K127" s="23" t="s">
        <v>583</v>
      </c>
      <c r="L127" s="7" t="s">
        <v>13</v>
      </c>
      <c r="M127" s="23" t="s">
        <v>884</v>
      </c>
      <c r="N127" s="7">
        <f>ROUNDUP((2.2)/0.7457,2)</f>
        <v>2.96</v>
      </c>
      <c r="O127" s="6" t="s">
        <v>12</v>
      </c>
      <c r="P127" s="42" t="s">
        <v>20</v>
      </c>
      <c r="Q127" s="39" t="s">
        <v>20</v>
      </c>
      <c r="R127" s="42" t="s">
        <v>20</v>
      </c>
      <c r="S127" s="39" t="s">
        <v>20</v>
      </c>
      <c r="T127" s="24" t="s">
        <v>1027</v>
      </c>
    </row>
    <row r="128" spans="1:20" x14ac:dyDescent="0.3">
      <c r="A128" s="17">
        <v>127</v>
      </c>
      <c r="B128" s="23" t="s">
        <v>1029</v>
      </c>
      <c r="C128" s="45" t="s">
        <v>1028</v>
      </c>
      <c r="D128" s="23" t="s">
        <v>600</v>
      </c>
      <c r="E128" s="6" t="s">
        <v>875</v>
      </c>
      <c r="F128" s="7" t="s">
        <v>13</v>
      </c>
      <c r="G128" s="23" t="s">
        <v>20</v>
      </c>
      <c r="H128" s="7">
        <v>2</v>
      </c>
      <c r="I128" s="23" t="s">
        <v>582</v>
      </c>
      <c r="J128" s="7" t="s">
        <v>13</v>
      </c>
      <c r="K128" s="23" t="s">
        <v>583</v>
      </c>
      <c r="L128" s="7" t="s">
        <v>13</v>
      </c>
      <c r="M128" s="23" t="s">
        <v>884</v>
      </c>
      <c r="N128" s="7">
        <f xml:space="preserve"> 10</f>
        <v>10</v>
      </c>
      <c r="O128" s="6" t="s">
        <v>12</v>
      </c>
      <c r="P128" s="42">
        <v>5</v>
      </c>
      <c r="Q128" s="39" t="s">
        <v>12</v>
      </c>
      <c r="R128" s="42" t="s">
        <v>20</v>
      </c>
      <c r="S128" s="39" t="s">
        <v>20</v>
      </c>
      <c r="T128" s="24" t="s">
        <v>1030</v>
      </c>
    </row>
    <row r="129" spans="1:20" x14ac:dyDescent="0.3">
      <c r="A129" s="17">
        <v>128</v>
      </c>
      <c r="B129" s="23" t="s">
        <v>1032</v>
      </c>
      <c r="C129" s="45" t="s">
        <v>1031</v>
      </c>
      <c r="D129" s="23" t="s">
        <v>600</v>
      </c>
      <c r="E129" s="6" t="s">
        <v>55</v>
      </c>
      <c r="F129" s="7" t="s">
        <v>13</v>
      </c>
      <c r="G129" s="23" t="s">
        <v>20</v>
      </c>
      <c r="H129" s="7">
        <v>5</v>
      </c>
      <c r="I129" s="23" t="s">
        <v>582</v>
      </c>
      <c r="J129" s="7" t="s">
        <v>13</v>
      </c>
      <c r="K129" s="23" t="s">
        <v>583</v>
      </c>
      <c r="L129" s="7" t="s">
        <v>13</v>
      </c>
      <c r="M129" s="23" t="s">
        <v>884</v>
      </c>
      <c r="N129" s="7">
        <f>ROUNDUP((7.5)/0.7457,2)</f>
        <v>10.06</v>
      </c>
      <c r="O129" s="6" t="s">
        <v>12</v>
      </c>
      <c r="P129" s="42">
        <f>ROUNDUP((2.2)/0.7457,2)</f>
        <v>2.96</v>
      </c>
      <c r="Q129" s="39" t="s">
        <v>12</v>
      </c>
      <c r="R129" s="42" t="s">
        <v>20</v>
      </c>
      <c r="S129" s="39" t="s">
        <v>20</v>
      </c>
      <c r="T129" s="24" t="s">
        <v>1033</v>
      </c>
    </row>
    <row r="130" spans="1:20" x14ac:dyDescent="0.3">
      <c r="A130" s="17">
        <v>129</v>
      </c>
      <c r="B130" s="23" t="s">
        <v>1035</v>
      </c>
      <c r="C130" s="45" t="s">
        <v>1034</v>
      </c>
      <c r="D130" s="23" t="s">
        <v>600</v>
      </c>
      <c r="E130" s="6" t="s">
        <v>875</v>
      </c>
      <c r="F130" s="7" t="s">
        <v>13</v>
      </c>
      <c r="G130" s="23" t="s">
        <v>20</v>
      </c>
      <c r="H130" s="7">
        <v>2.5</v>
      </c>
      <c r="I130" s="23" t="s">
        <v>582</v>
      </c>
      <c r="J130" s="7" t="s">
        <v>13</v>
      </c>
      <c r="K130" s="23" t="s">
        <v>583</v>
      </c>
      <c r="L130" s="7" t="s">
        <v>13</v>
      </c>
      <c r="M130" s="23" t="s">
        <v>884</v>
      </c>
      <c r="N130" s="7">
        <f>15</f>
        <v>15</v>
      </c>
      <c r="O130" s="6" t="s">
        <v>12</v>
      </c>
      <c r="P130" s="42">
        <v>5</v>
      </c>
      <c r="Q130" s="39" t="s">
        <v>12</v>
      </c>
      <c r="R130" s="42" t="s">
        <v>20</v>
      </c>
      <c r="S130" s="39" t="s">
        <v>20</v>
      </c>
      <c r="T130" s="24" t="s">
        <v>1036</v>
      </c>
    </row>
    <row r="131" spans="1:20" x14ac:dyDescent="0.3">
      <c r="A131" s="17">
        <v>130</v>
      </c>
      <c r="B131" s="23" t="s">
        <v>1038</v>
      </c>
      <c r="C131" s="45" t="s">
        <v>1037</v>
      </c>
      <c r="D131" s="23" t="s">
        <v>600</v>
      </c>
      <c r="E131" s="6" t="s">
        <v>1039</v>
      </c>
      <c r="F131" s="7" t="s">
        <v>13</v>
      </c>
      <c r="G131" s="23" t="s">
        <v>20</v>
      </c>
      <c r="H131" s="7">
        <v>0.75</v>
      </c>
      <c r="I131" s="23" t="s">
        <v>582</v>
      </c>
      <c r="J131" s="7" t="s">
        <v>13</v>
      </c>
      <c r="K131" s="23" t="s">
        <v>583</v>
      </c>
      <c r="L131" s="7" t="s">
        <v>13</v>
      </c>
      <c r="M131" s="23" t="s">
        <v>884</v>
      </c>
      <c r="N131" s="7">
        <f>ROUNDUP((5)/0.7457,2)</f>
        <v>6.71</v>
      </c>
      <c r="O131" s="6" t="s">
        <v>12</v>
      </c>
      <c r="P131" s="42">
        <f>ROUNDUP((0.75)/0.7457,2)</f>
        <v>1.01</v>
      </c>
      <c r="Q131" s="39" t="s">
        <v>12</v>
      </c>
      <c r="R131" s="42" t="s">
        <v>20</v>
      </c>
      <c r="S131" s="39" t="s">
        <v>20</v>
      </c>
      <c r="T131" s="24" t="s">
        <v>1036</v>
      </c>
    </row>
    <row r="132" spans="1:20" x14ac:dyDescent="0.3">
      <c r="A132" s="17">
        <v>131</v>
      </c>
      <c r="B132" s="23" t="s">
        <v>1042</v>
      </c>
      <c r="C132" s="6" t="s">
        <v>1041</v>
      </c>
      <c r="D132" s="23" t="s">
        <v>580</v>
      </c>
      <c r="E132" s="6" t="s">
        <v>55</v>
      </c>
      <c r="F132" s="7" t="s">
        <v>13</v>
      </c>
      <c r="G132" s="23" t="s">
        <v>20</v>
      </c>
      <c r="H132" s="7">
        <f>ROUNDUP(339.1*0.3048^2,2)</f>
        <v>31.51</v>
      </c>
      <c r="I132" s="23" t="s">
        <v>582</v>
      </c>
      <c r="J132" s="7" t="s">
        <v>13</v>
      </c>
      <c r="K132" s="23" t="s">
        <v>583</v>
      </c>
      <c r="L132" s="7" t="s">
        <v>13</v>
      </c>
      <c r="M132" s="23" t="s">
        <v>884</v>
      </c>
      <c r="N132" s="7">
        <f>10+5</f>
        <v>15</v>
      </c>
      <c r="O132" s="6" t="s">
        <v>12</v>
      </c>
      <c r="P132" s="42"/>
      <c r="Q132" s="39"/>
      <c r="R132" s="42"/>
      <c r="S132" s="39"/>
      <c r="T132" s="24" t="s">
        <v>1043</v>
      </c>
    </row>
    <row r="133" spans="1:20" x14ac:dyDescent="0.3">
      <c r="A133" s="17">
        <v>132</v>
      </c>
      <c r="B133" s="23" t="s">
        <v>1045</v>
      </c>
      <c r="C133" s="6" t="s">
        <v>1044</v>
      </c>
      <c r="D133" s="23" t="s">
        <v>580</v>
      </c>
      <c r="E133" s="6" t="s">
        <v>581</v>
      </c>
      <c r="F133" s="7" t="s">
        <v>13</v>
      </c>
      <c r="G133" s="23" t="s">
        <v>20</v>
      </c>
      <c r="H133" s="7">
        <f>ROUNDUP(1020*0.3048^2,2)</f>
        <v>94.77000000000001</v>
      </c>
      <c r="I133" s="23" t="s">
        <v>582</v>
      </c>
      <c r="J133" s="7" t="s">
        <v>13</v>
      </c>
      <c r="K133" s="23" t="s">
        <v>583</v>
      </c>
      <c r="L133" s="7" t="s">
        <v>13</v>
      </c>
      <c r="M133" s="23" t="s">
        <v>884</v>
      </c>
      <c r="N133" s="7">
        <v>5</v>
      </c>
      <c r="O133" s="6" t="s">
        <v>12</v>
      </c>
      <c r="P133" s="42"/>
      <c r="Q133" s="39"/>
      <c r="R133" s="42"/>
      <c r="S133" s="39"/>
      <c r="T133" s="24" t="s">
        <v>1046</v>
      </c>
    </row>
    <row r="134" spans="1:20" x14ac:dyDescent="0.3">
      <c r="A134" s="17">
        <v>133</v>
      </c>
      <c r="B134" s="23" t="s">
        <v>1048</v>
      </c>
      <c r="C134" s="6" t="s">
        <v>1047</v>
      </c>
      <c r="D134" s="23" t="s">
        <v>580</v>
      </c>
      <c r="E134" s="6" t="s">
        <v>581</v>
      </c>
      <c r="F134" s="7" t="s">
        <v>13</v>
      </c>
      <c r="G134" s="23" t="s">
        <v>20</v>
      </c>
      <c r="H134" s="7">
        <v>114.5</v>
      </c>
      <c r="I134" s="23" t="s">
        <v>582</v>
      </c>
      <c r="J134" s="7" t="s">
        <v>13</v>
      </c>
      <c r="K134" s="23" t="s">
        <v>583</v>
      </c>
      <c r="L134" s="7">
        <v>1732</v>
      </c>
      <c r="M134" s="23" t="s">
        <v>884</v>
      </c>
      <c r="N134" s="7">
        <f>ROUNDUP((2.2)/0.7457,2)</f>
        <v>2.96</v>
      </c>
      <c r="O134" s="6" t="s">
        <v>12</v>
      </c>
      <c r="P134" s="42"/>
      <c r="Q134" s="39"/>
      <c r="R134" s="42"/>
      <c r="S134" s="39"/>
      <c r="T134" s="24" t="s">
        <v>1049</v>
      </c>
    </row>
    <row r="135" spans="1:20" x14ac:dyDescent="0.3">
      <c r="A135" s="17">
        <v>134</v>
      </c>
      <c r="B135" s="23" t="s">
        <v>1051</v>
      </c>
      <c r="C135" s="6" t="s">
        <v>1050</v>
      </c>
      <c r="D135" s="23" t="s">
        <v>580</v>
      </c>
      <c r="E135" s="6" t="s">
        <v>581</v>
      </c>
      <c r="F135" s="7" t="s">
        <v>13</v>
      </c>
      <c r="G135" s="23" t="s">
        <v>20</v>
      </c>
      <c r="H135" s="7">
        <v>121.5</v>
      </c>
      <c r="I135" s="23" t="s">
        <v>582</v>
      </c>
      <c r="J135" s="7" t="s">
        <v>13</v>
      </c>
      <c r="K135" s="23" t="s">
        <v>583</v>
      </c>
      <c r="L135" s="7">
        <v>1624</v>
      </c>
      <c r="M135" s="23" t="s">
        <v>884</v>
      </c>
      <c r="N135" s="7">
        <f>ROUNDUP((5.5)/0.7457,2)</f>
        <v>7.38</v>
      </c>
      <c r="O135" s="6" t="s">
        <v>12</v>
      </c>
      <c r="P135" s="42"/>
      <c r="Q135" s="39"/>
      <c r="R135" s="42"/>
      <c r="S135" s="39"/>
      <c r="T135" s="24" t="s">
        <v>1052</v>
      </c>
    </row>
    <row r="136" spans="1:20" x14ac:dyDescent="0.3">
      <c r="A136" s="17">
        <v>135</v>
      </c>
      <c r="B136" s="23" t="s">
        <v>1053</v>
      </c>
      <c r="C136" s="6" t="s">
        <v>1054</v>
      </c>
      <c r="D136" s="23" t="s">
        <v>580</v>
      </c>
      <c r="E136" s="6" t="s">
        <v>581</v>
      </c>
      <c r="F136" s="7" t="s">
        <v>13</v>
      </c>
      <c r="G136" s="23" t="s">
        <v>20</v>
      </c>
      <c r="H136" s="7">
        <v>240.6</v>
      </c>
      <c r="I136" s="23" t="s">
        <v>582</v>
      </c>
      <c r="J136" s="7" t="s">
        <v>13</v>
      </c>
      <c r="K136" s="23" t="s">
        <v>583</v>
      </c>
      <c r="L136" s="7" t="s">
        <v>13</v>
      </c>
      <c r="M136" s="23" t="s">
        <v>884</v>
      </c>
      <c r="N136" s="7">
        <f>ROUNDUP((7.5 + 0.25 + 0.25)/0.7457,2)</f>
        <v>10.73</v>
      </c>
      <c r="O136" s="6" t="s">
        <v>12</v>
      </c>
      <c r="P136" s="42"/>
      <c r="Q136" s="39"/>
      <c r="R136" s="42"/>
      <c r="S136" s="39"/>
      <c r="T136" s="24" t="s">
        <v>1055</v>
      </c>
    </row>
    <row r="137" spans="1:20" x14ac:dyDescent="0.3">
      <c r="A137" s="17">
        <v>136</v>
      </c>
      <c r="B137" s="23" t="s">
        <v>1057</v>
      </c>
      <c r="C137" s="6" t="s">
        <v>1056</v>
      </c>
      <c r="D137" s="23" t="s">
        <v>580</v>
      </c>
      <c r="E137" s="6" t="s">
        <v>581</v>
      </c>
      <c r="F137" s="7" t="s">
        <v>13</v>
      </c>
      <c r="G137" s="23" t="s">
        <v>20</v>
      </c>
      <c r="H137" s="7">
        <v>46.3</v>
      </c>
      <c r="I137" s="23" t="s">
        <v>582</v>
      </c>
      <c r="J137" s="7" t="s">
        <v>13</v>
      </c>
      <c r="K137" s="23" t="s">
        <v>583</v>
      </c>
      <c r="L137" s="7">
        <v>670</v>
      </c>
      <c r="M137" s="23" t="s">
        <v>884</v>
      </c>
      <c r="N137" s="7">
        <f>ROUNDUP((4.5)/0.7457,2)</f>
        <v>6.04</v>
      </c>
      <c r="O137" s="6" t="s">
        <v>12</v>
      </c>
      <c r="P137" s="42"/>
      <c r="Q137" s="39"/>
      <c r="R137" s="42"/>
      <c r="S137" s="39"/>
      <c r="T137" s="24" t="s">
        <v>1058</v>
      </c>
    </row>
    <row r="138" spans="1:20" x14ac:dyDescent="0.3">
      <c r="A138" s="17">
        <v>137</v>
      </c>
      <c r="B138" s="23" t="s">
        <v>1060</v>
      </c>
      <c r="C138" s="6" t="s">
        <v>1059</v>
      </c>
      <c r="D138" s="23" t="s">
        <v>580</v>
      </c>
      <c r="E138" s="6" t="s">
        <v>581</v>
      </c>
      <c r="F138" s="7" t="s">
        <v>13</v>
      </c>
      <c r="G138" s="23" t="s">
        <v>20</v>
      </c>
      <c r="H138" s="7">
        <f>ROUNDUP(4608*0.3048^2,2)</f>
        <v>428.09999999999997</v>
      </c>
      <c r="I138" s="23" t="s">
        <v>582</v>
      </c>
      <c r="J138" s="7" t="s">
        <v>13</v>
      </c>
      <c r="K138" s="23" t="s">
        <v>583</v>
      </c>
      <c r="L138" s="7">
        <f>ROUNDUP(225*0.3048^3*1000,2)</f>
        <v>6371.3</v>
      </c>
      <c r="M138" s="23" t="s">
        <v>884</v>
      </c>
      <c r="N138" s="7">
        <v>7.5</v>
      </c>
      <c r="O138" s="6" t="s">
        <v>12</v>
      </c>
      <c r="P138" s="42"/>
      <c r="Q138" s="39"/>
      <c r="R138" s="42"/>
      <c r="S138" s="39"/>
      <c r="T138" s="24" t="s">
        <v>1061</v>
      </c>
    </row>
    <row r="139" spans="1:20" x14ac:dyDescent="0.3">
      <c r="A139" s="17">
        <v>138</v>
      </c>
      <c r="B139" s="23" t="s">
        <v>1063</v>
      </c>
      <c r="C139" s="6" t="s">
        <v>1062</v>
      </c>
      <c r="D139" s="23" t="s">
        <v>580</v>
      </c>
      <c r="E139" s="6" t="s">
        <v>581</v>
      </c>
      <c r="F139" s="7" t="s">
        <v>13</v>
      </c>
      <c r="G139" s="23" t="s">
        <v>20</v>
      </c>
      <c r="H139" s="7">
        <v>104</v>
      </c>
      <c r="I139" s="23" t="s">
        <v>582</v>
      </c>
      <c r="J139" s="7" t="s">
        <v>13</v>
      </c>
      <c r="K139" s="23" t="s">
        <v>583</v>
      </c>
      <c r="L139" s="7" t="s">
        <v>13</v>
      </c>
      <c r="M139" s="23" t="s">
        <v>884</v>
      </c>
      <c r="N139" s="7">
        <f>ROUNDUP((4)/0.7457,2)</f>
        <v>5.37</v>
      </c>
      <c r="O139" s="6" t="s">
        <v>12</v>
      </c>
      <c r="P139" s="42"/>
      <c r="Q139" s="39"/>
      <c r="R139" s="42"/>
      <c r="S139" s="39"/>
      <c r="T139" s="24" t="s">
        <v>1064</v>
      </c>
    </row>
    <row r="140" spans="1:20" x14ac:dyDescent="0.3">
      <c r="A140" s="17">
        <v>139</v>
      </c>
      <c r="B140" s="23" t="s">
        <v>1066</v>
      </c>
      <c r="C140" s="6" t="s">
        <v>1065</v>
      </c>
      <c r="D140" s="23" t="s">
        <v>580</v>
      </c>
      <c r="E140" s="6" t="s">
        <v>581</v>
      </c>
      <c r="F140" s="7" t="s">
        <v>13</v>
      </c>
      <c r="G140" s="23" t="s">
        <v>20</v>
      </c>
      <c r="H140" s="7">
        <v>102</v>
      </c>
      <c r="I140" s="23" t="s">
        <v>582</v>
      </c>
      <c r="J140" s="7" t="s">
        <v>13</v>
      </c>
      <c r="K140" s="23" t="s">
        <v>583</v>
      </c>
      <c r="L140" s="7">
        <v>910</v>
      </c>
      <c r="M140" s="23" t="s">
        <v>884</v>
      </c>
      <c r="N140" s="7">
        <f>ROUNDUP((2.2)/0.7457,2)</f>
        <v>2.96</v>
      </c>
      <c r="O140" s="6" t="s">
        <v>12</v>
      </c>
      <c r="P140" s="42"/>
      <c r="Q140" s="39"/>
      <c r="R140" s="42"/>
      <c r="S140" s="39"/>
      <c r="T140" s="24" t="s">
        <v>1064</v>
      </c>
    </row>
    <row r="141" spans="1:20" x14ac:dyDescent="0.3">
      <c r="A141" s="17">
        <v>140</v>
      </c>
      <c r="B141" s="23" t="s">
        <v>1068</v>
      </c>
      <c r="C141" s="6" t="s">
        <v>1067</v>
      </c>
      <c r="D141" s="23" t="s">
        <v>591</v>
      </c>
      <c r="E141" s="6" t="s">
        <v>61</v>
      </c>
      <c r="F141" s="7" t="s">
        <v>13</v>
      </c>
      <c r="G141" s="23" t="s">
        <v>20</v>
      </c>
      <c r="H141" s="7">
        <v>25</v>
      </c>
      <c r="I141" s="23" t="s">
        <v>582</v>
      </c>
      <c r="J141" s="7" t="s">
        <v>13</v>
      </c>
      <c r="K141" s="23" t="s">
        <v>583</v>
      </c>
      <c r="L141" s="7" t="s">
        <v>13</v>
      </c>
      <c r="M141" s="23" t="s">
        <v>884</v>
      </c>
      <c r="N141" s="7">
        <f>ROUNDUP((10 + 3.6 + 40)/0.7457,2)</f>
        <v>71.88000000000001</v>
      </c>
      <c r="O141" s="6" t="s">
        <v>12</v>
      </c>
      <c r="P141" s="42"/>
      <c r="Q141" s="39"/>
      <c r="R141" s="42"/>
      <c r="S141" s="39"/>
      <c r="T141" s="24" t="s">
        <v>1069</v>
      </c>
    </row>
    <row r="142" spans="1:20" x14ac:dyDescent="0.3">
      <c r="A142" s="17">
        <v>141</v>
      </c>
      <c r="B142" s="23" t="s">
        <v>1071</v>
      </c>
      <c r="C142" s="6" t="s">
        <v>1070</v>
      </c>
      <c r="D142" s="23" t="s">
        <v>591</v>
      </c>
      <c r="E142" s="6" t="s">
        <v>910</v>
      </c>
      <c r="F142" s="7" t="s">
        <v>13</v>
      </c>
      <c r="G142" s="23" t="s">
        <v>20</v>
      </c>
      <c r="H142" s="7">
        <f>ROUNDUP(4.71*0.3048^2,2)</f>
        <v>0.44</v>
      </c>
      <c r="I142" s="23" t="s">
        <v>582</v>
      </c>
      <c r="J142" s="7" t="s">
        <v>13</v>
      </c>
      <c r="K142" s="23" t="s">
        <v>583</v>
      </c>
      <c r="L142" s="7" t="s">
        <v>13</v>
      </c>
      <c r="M142" s="23" t="s">
        <v>884</v>
      </c>
      <c r="N142" s="7">
        <f>ROUNDUP(1 + (11)/0.7457,2)</f>
        <v>15.76</v>
      </c>
      <c r="O142" s="6" t="s">
        <v>12</v>
      </c>
      <c r="P142" s="42"/>
      <c r="Q142" s="39"/>
      <c r="R142" s="42"/>
      <c r="S142" s="39"/>
      <c r="T142" s="24" t="s">
        <v>929</v>
      </c>
    </row>
    <row r="143" spans="1:20" x14ac:dyDescent="0.3">
      <c r="A143" s="17">
        <v>142</v>
      </c>
      <c r="B143" s="23" t="s">
        <v>1072</v>
      </c>
      <c r="C143" s="6" t="s">
        <v>669</v>
      </c>
      <c r="D143" s="23" t="s">
        <v>591</v>
      </c>
      <c r="E143" s="6" t="s">
        <v>61</v>
      </c>
      <c r="F143" s="7" t="s">
        <v>13</v>
      </c>
      <c r="G143" s="23" t="s">
        <v>20</v>
      </c>
      <c r="H143" s="7">
        <v>6.3</v>
      </c>
      <c r="I143" s="23" t="s">
        <v>582</v>
      </c>
      <c r="J143" s="7" t="s">
        <v>13</v>
      </c>
      <c r="K143" s="23" t="s">
        <v>583</v>
      </c>
      <c r="L143" s="7" t="s">
        <v>13</v>
      </c>
      <c r="M143" s="23" t="s">
        <v>884</v>
      </c>
      <c r="N143" s="7">
        <f>ROUNDUP((0.75 + 5.5)/0.7457,2)</f>
        <v>8.39</v>
      </c>
      <c r="O143" s="6" t="s">
        <v>12</v>
      </c>
      <c r="P143" s="42"/>
      <c r="Q143" s="39"/>
      <c r="R143" s="42"/>
      <c r="S143" s="39"/>
      <c r="T143" s="24" t="s">
        <v>929</v>
      </c>
    </row>
    <row r="144" spans="1:20" x14ac:dyDescent="0.3">
      <c r="A144" s="17">
        <v>143</v>
      </c>
      <c r="B144" s="23" t="s">
        <v>1073</v>
      </c>
      <c r="C144" s="6" t="s">
        <v>1074</v>
      </c>
      <c r="D144" s="23" t="s">
        <v>591</v>
      </c>
      <c r="E144" s="6" t="s">
        <v>61</v>
      </c>
      <c r="F144" s="7" t="s">
        <v>13</v>
      </c>
      <c r="G144" s="23" t="s">
        <v>20</v>
      </c>
      <c r="H144" s="7">
        <v>1.75</v>
      </c>
      <c r="I144" s="23" t="s">
        <v>582</v>
      </c>
      <c r="J144" s="7" t="s">
        <v>13</v>
      </c>
      <c r="K144" s="23" t="s">
        <v>583</v>
      </c>
      <c r="L144" s="7" t="s">
        <v>13</v>
      </c>
      <c r="M144" s="23" t="s">
        <v>884</v>
      </c>
      <c r="N144" s="7">
        <f>ROUNDUP((0.55 + 5.5)/0.7457,2)</f>
        <v>8.1199999999999992</v>
      </c>
      <c r="O144" s="6" t="s">
        <v>12</v>
      </c>
      <c r="P144" s="42"/>
      <c r="Q144" s="39"/>
      <c r="R144" s="42"/>
      <c r="S144" s="39"/>
      <c r="T144" s="24" t="s">
        <v>929</v>
      </c>
    </row>
    <row r="145" spans="1:20" x14ac:dyDescent="0.3">
      <c r="A145" s="17">
        <v>144</v>
      </c>
      <c r="B145" s="23" t="s">
        <v>1076</v>
      </c>
      <c r="C145" s="6" t="s">
        <v>1075</v>
      </c>
      <c r="D145" s="23" t="s">
        <v>591</v>
      </c>
      <c r="E145" s="6" t="s">
        <v>61</v>
      </c>
      <c r="F145" s="7" t="s">
        <v>13</v>
      </c>
      <c r="G145" s="23" t="s">
        <v>20</v>
      </c>
      <c r="H145" s="7">
        <v>15</v>
      </c>
      <c r="I145" s="23" t="s">
        <v>582</v>
      </c>
      <c r="J145" s="7" t="s">
        <v>13</v>
      </c>
      <c r="K145" s="23" t="s">
        <v>583</v>
      </c>
      <c r="L145" s="7" t="s">
        <v>13</v>
      </c>
      <c r="M145" s="23" t="s">
        <v>884</v>
      </c>
      <c r="N145" s="7">
        <f>ROUNDUP((1.1 + 15)/0.7457,2)</f>
        <v>21.6</v>
      </c>
      <c r="O145" s="6" t="s">
        <v>12</v>
      </c>
      <c r="P145" s="42"/>
      <c r="Q145" s="39"/>
      <c r="R145" s="42"/>
      <c r="S145" s="39"/>
      <c r="T145" s="24" t="s">
        <v>929</v>
      </c>
    </row>
    <row r="146" spans="1:20" x14ac:dyDescent="0.3">
      <c r="A146" s="17">
        <v>145</v>
      </c>
      <c r="B146" s="23" t="s">
        <v>1078</v>
      </c>
      <c r="C146" s="6" t="s">
        <v>1077</v>
      </c>
      <c r="D146" s="23" t="s">
        <v>591</v>
      </c>
      <c r="E146" s="6" t="s">
        <v>44</v>
      </c>
      <c r="F146" s="7" t="s">
        <v>13</v>
      </c>
      <c r="G146" s="23" t="s">
        <v>20</v>
      </c>
      <c r="H146" s="7">
        <v>0.3</v>
      </c>
      <c r="I146" s="23" t="s">
        <v>582</v>
      </c>
      <c r="J146" s="7" t="s">
        <v>13</v>
      </c>
      <c r="K146" s="23" t="s">
        <v>583</v>
      </c>
      <c r="L146" s="7" t="s">
        <v>13</v>
      </c>
      <c r="M146" s="23" t="s">
        <v>884</v>
      </c>
      <c r="N146" s="7">
        <f>ROUNDUP((0.055 + 0.15 + 1.5)/0.7457,2)</f>
        <v>2.2899999999999996</v>
      </c>
      <c r="O146" s="6" t="s">
        <v>12</v>
      </c>
      <c r="P146" s="42"/>
      <c r="Q146" s="39"/>
      <c r="R146" s="42"/>
      <c r="S146" s="39"/>
      <c r="T146" s="24" t="s">
        <v>1069</v>
      </c>
    </row>
    <row r="147" spans="1:20" x14ac:dyDescent="0.3">
      <c r="A147" s="17">
        <v>146</v>
      </c>
      <c r="B147" s="23" t="s">
        <v>1080</v>
      </c>
      <c r="C147" s="6" t="s">
        <v>1079</v>
      </c>
      <c r="D147" s="23" t="s">
        <v>591</v>
      </c>
      <c r="E147" s="6" t="s">
        <v>1081</v>
      </c>
      <c r="F147" s="7" t="s">
        <v>13</v>
      </c>
      <c r="G147" s="23" t="s">
        <v>20</v>
      </c>
      <c r="H147" s="7">
        <v>8</v>
      </c>
      <c r="I147" s="23" t="s">
        <v>582</v>
      </c>
      <c r="J147" s="7" t="s">
        <v>13</v>
      </c>
      <c r="K147" s="23" t="s">
        <v>583</v>
      </c>
      <c r="L147" s="7" t="s">
        <v>13</v>
      </c>
      <c r="M147" s="23" t="s">
        <v>884</v>
      </c>
      <c r="N147" s="7">
        <f>ROUNDUP((12)/0.7457,2)</f>
        <v>16.100000000000001</v>
      </c>
      <c r="O147" s="6" t="s">
        <v>12</v>
      </c>
      <c r="P147" s="42"/>
      <c r="Q147" s="39"/>
      <c r="R147" s="42"/>
      <c r="S147" s="39"/>
      <c r="T147" s="24" t="s">
        <v>967</v>
      </c>
    </row>
    <row r="148" spans="1:20" x14ac:dyDescent="0.3">
      <c r="A148" s="17">
        <v>147</v>
      </c>
      <c r="B148" s="23" t="s">
        <v>1083</v>
      </c>
      <c r="C148" s="6" t="s">
        <v>1082</v>
      </c>
      <c r="D148" s="23" t="s">
        <v>591</v>
      </c>
      <c r="E148" s="6" t="s">
        <v>61</v>
      </c>
      <c r="F148" s="7" t="s">
        <v>13</v>
      </c>
      <c r="G148" s="23" t="s">
        <v>20</v>
      </c>
      <c r="H148" s="7">
        <f>ROUNDUP(375*0.3048^2,2)</f>
        <v>34.839999999999996</v>
      </c>
      <c r="I148" s="23" t="s">
        <v>582</v>
      </c>
      <c r="J148" s="7" t="s">
        <v>13</v>
      </c>
      <c r="K148" s="23" t="s">
        <v>583</v>
      </c>
      <c r="L148" s="7" t="s">
        <v>13</v>
      </c>
      <c r="M148" s="23" t="s">
        <v>884</v>
      </c>
      <c r="N148" s="7">
        <f>150 + 2</f>
        <v>152</v>
      </c>
      <c r="O148" s="6" t="s">
        <v>12</v>
      </c>
      <c r="P148" s="42"/>
      <c r="Q148" s="39"/>
      <c r="R148" s="42"/>
      <c r="S148" s="39"/>
      <c r="T148" s="24" t="s">
        <v>1084</v>
      </c>
    </row>
    <row r="149" spans="1:20" x14ac:dyDescent="0.3">
      <c r="A149" s="17">
        <v>148</v>
      </c>
      <c r="B149" s="23" t="s">
        <v>1086</v>
      </c>
      <c r="C149" s="6" t="s">
        <v>1085</v>
      </c>
      <c r="D149" s="23" t="s">
        <v>591</v>
      </c>
      <c r="E149" s="6" t="s">
        <v>61</v>
      </c>
      <c r="F149" s="7" t="s">
        <v>13</v>
      </c>
      <c r="G149" s="23" t="s">
        <v>20</v>
      </c>
      <c r="H149" s="7">
        <f>ROUNDUP(PI()*8*12*0.3048^2,2)</f>
        <v>28.020000000000003</v>
      </c>
      <c r="I149" s="23" t="s">
        <v>582</v>
      </c>
      <c r="J149" s="7" t="s">
        <v>13</v>
      </c>
      <c r="K149" s="23" t="s">
        <v>583</v>
      </c>
      <c r="L149" s="7" t="s">
        <v>13</v>
      </c>
      <c r="M149" s="23" t="s">
        <v>884</v>
      </c>
      <c r="N149" s="7">
        <f>2 + 5 + 0.33 + 60</f>
        <v>67.33</v>
      </c>
      <c r="O149" s="6" t="s">
        <v>12</v>
      </c>
      <c r="P149" s="42"/>
      <c r="Q149" s="39"/>
      <c r="R149" s="42"/>
      <c r="S149" s="39"/>
      <c r="T149" s="24" t="s">
        <v>1087</v>
      </c>
    </row>
    <row r="150" spans="1:20" x14ac:dyDescent="0.3">
      <c r="A150" s="17">
        <v>149</v>
      </c>
      <c r="B150" s="32" t="s">
        <v>1089</v>
      </c>
      <c r="C150" s="33" t="s">
        <v>1088</v>
      </c>
      <c r="D150" s="32" t="s">
        <v>591</v>
      </c>
      <c r="E150" s="33" t="s">
        <v>910</v>
      </c>
      <c r="F150" s="34" t="s">
        <v>13</v>
      </c>
      <c r="G150" s="32" t="s">
        <v>20</v>
      </c>
      <c r="H150" s="34">
        <f>ROUNDUP(56.5*0.3048^2,2)</f>
        <v>5.25</v>
      </c>
      <c r="I150" s="32" t="s">
        <v>582</v>
      </c>
      <c r="J150" s="34" t="s">
        <v>13</v>
      </c>
      <c r="K150" s="32" t="s">
        <v>583</v>
      </c>
      <c r="L150" s="34" t="s">
        <v>13</v>
      </c>
      <c r="M150" s="32" t="s">
        <v>884</v>
      </c>
      <c r="N150" s="34">
        <f>0.75 + 20</f>
        <v>20.75</v>
      </c>
      <c r="O150" s="33" t="s">
        <v>12</v>
      </c>
      <c r="P150" s="43"/>
      <c r="Q150" s="40"/>
      <c r="R150" s="43"/>
      <c r="S150" s="40"/>
      <c r="T150" s="35" t="s">
        <v>929</v>
      </c>
    </row>
    <row r="151" spans="1:20" x14ac:dyDescent="0.3">
      <c r="A151" s="17">
        <v>150</v>
      </c>
      <c r="B151" s="23" t="s">
        <v>1090</v>
      </c>
      <c r="C151" s="6" t="s">
        <v>1091</v>
      </c>
      <c r="D151" s="23" t="s">
        <v>591</v>
      </c>
      <c r="E151" s="6" t="s">
        <v>61</v>
      </c>
      <c r="F151" s="7" t="s">
        <v>13</v>
      </c>
      <c r="G151" s="23" t="s">
        <v>20</v>
      </c>
      <c r="H151" s="7">
        <f>ROUNDUP(113*0.3048^2,2)</f>
        <v>10.5</v>
      </c>
      <c r="I151" s="23" t="s">
        <v>582</v>
      </c>
      <c r="J151" s="7" t="s">
        <v>13</v>
      </c>
      <c r="K151" s="23" t="s">
        <v>583</v>
      </c>
      <c r="L151" s="7" t="s">
        <v>13</v>
      </c>
      <c r="M151" s="23" t="s">
        <v>884</v>
      </c>
      <c r="N151" s="7">
        <f>0.5 + 3 + 0.75 + 40</f>
        <v>44.25</v>
      </c>
      <c r="O151" s="6" t="s">
        <v>12</v>
      </c>
      <c r="P151" s="42"/>
      <c r="Q151" s="39"/>
      <c r="R151" s="42"/>
      <c r="S151" s="39"/>
      <c r="T151" s="24" t="s">
        <v>1092</v>
      </c>
    </row>
    <row r="152" spans="1:20" x14ac:dyDescent="0.3">
      <c r="A152" s="17">
        <v>151</v>
      </c>
      <c r="B152" s="23" t="s">
        <v>1093</v>
      </c>
      <c r="C152" s="6" t="s">
        <v>1094</v>
      </c>
      <c r="D152" s="23" t="s">
        <v>591</v>
      </c>
      <c r="E152" s="6" t="s">
        <v>13</v>
      </c>
      <c r="F152" s="7" t="s">
        <v>13</v>
      </c>
      <c r="G152" s="23" t="s">
        <v>20</v>
      </c>
      <c r="H152" s="7">
        <f>ROUNDUP(PI()*(18/12)*(12/12)*0.3048^2,2)</f>
        <v>0.44</v>
      </c>
      <c r="I152" s="23" t="s">
        <v>582</v>
      </c>
      <c r="J152" s="7" t="s">
        <v>13</v>
      </c>
      <c r="K152" s="23" t="s">
        <v>583</v>
      </c>
      <c r="L152" s="7" t="s">
        <v>13</v>
      </c>
      <c r="M152" s="23" t="s">
        <v>884</v>
      </c>
      <c r="N152" s="7">
        <f>0.25 + 1.5 + 0.75</f>
        <v>2.5</v>
      </c>
      <c r="O152" s="6" t="s">
        <v>12</v>
      </c>
      <c r="P152" s="42"/>
      <c r="Q152" s="39"/>
      <c r="R152" s="42"/>
      <c r="S152" s="39"/>
      <c r="T152" s="24" t="s">
        <v>1095</v>
      </c>
    </row>
    <row r="153" spans="1:20" ht="15" thickBot="1" x14ac:dyDescent="0.35">
      <c r="A153" s="18">
        <v>152</v>
      </c>
      <c r="B153" s="25" t="s">
        <v>1096</v>
      </c>
      <c r="C153" s="10" t="s">
        <v>1097</v>
      </c>
      <c r="D153" s="25" t="s">
        <v>591</v>
      </c>
      <c r="E153" s="10" t="s">
        <v>41</v>
      </c>
      <c r="F153" s="11" t="s">
        <v>13</v>
      </c>
      <c r="G153" s="25" t="s">
        <v>20</v>
      </c>
      <c r="H153" s="11">
        <f>ROUNDUP(848*0.3048^2,2)</f>
        <v>78.790000000000006</v>
      </c>
      <c r="I153" s="25" t="s">
        <v>582</v>
      </c>
      <c r="J153" s="11" t="s">
        <v>13</v>
      </c>
      <c r="K153" s="25" t="s">
        <v>583</v>
      </c>
      <c r="L153" s="11" t="s">
        <v>13</v>
      </c>
      <c r="M153" s="25" t="s">
        <v>884</v>
      </c>
      <c r="N153" s="11">
        <f>7.5 + 400</f>
        <v>407.5</v>
      </c>
      <c r="O153" s="10" t="s">
        <v>12</v>
      </c>
      <c r="P153" s="44"/>
      <c r="Q153" s="41"/>
      <c r="R153" s="44"/>
      <c r="S153" s="41"/>
      <c r="T153" s="26" t="s">
        <v>1098</v>
      </c>
    </row>
    <row r="154" spans="1:20" ht="15" thickBot="1" x14ac:dyDescent="0.35"/>
    <row r="155" spans="1:20" x14ac:dyDescent="0.3">
      <c r="A155" s="14" t="s">
        <v>237</v>
      </c>
      <c r="B155" s="57" t="s">
        <v>227</v>
      </c>
      <c r="C155" s="58"/>
      <c r="D155" s="16" t="s">
        <v>236</v>
      </c>
    </row>
    <row r="156" spans="1:20" x14ac:dyDescent="0.3">
      <c r="A156" s="17">
        <v>1</v>
      </c>
      <c r="B156" s="48" t="s">
        <v>228</v>
      </c>
      <c r="C156" s="60"/>
      <c r="D156" s="31" t="s">
        <v>1298</v>
      </c>
    </row>
    <row r="157" spans="1:20" x14ac:dyDescent="0.3">
      <c r="A157" s="17">
        <v>2</v>
      </c>
      <c r="B157" s="48" t="s">
        <v>674</v>
      </c>
      <c r="C157" s="60"/>
      <c r="D157" s="24" t="s">
        <v>1299</v>
      </c>
    </row>
    <row r="158" spans="1:20" x14ac:dyDescent="0.3">
      <c r="A158" s="17">
        <v>3</v>
      </c>
      <c r="B158" s="48" t="s">
        <v>675</v>
      </c>
      <c r="C158" s="60"/>
      <c r="D158" s="24" t="s">
        <v>1300</v>
      </c>
    </row>
    <row r="159" spans="1:20" x14ac:dyDescent="0.3">
      <c r="A159" s="17">
        <v>4</v>
      </c>
      <c r="B159" s="48" t="s">
        <v>676</v>
      </c>
      <c r="C159" s="60"/>
      <c r="D159" s="24" t="s">
        <v>1313</v>
      </c>
    </row>
    <row r="160" spans="1:20" ht="15" thickBot="1" x14ac:dyDescent="0.35">
      <c r="A160" s="18">
        <v>5</v>
      </c>
      <c r="B160" s="46" t="s">
        <v>1099</v>
      </c>
      <c r="C160" s="59"/>
      <c r="D160" s="26" t="s">
        <v>1314</v>
      </c>
    </row>
  </sheetData>
  <sortState xmlns:xlrd2="http://schemas.microsoft.com/office/spreadsheetml/2017/richdata2" ref="A2:T154">
    <sortCondition ref="A2:A154"/>
  </sortState>
  <mergeCells count="6">
    <mergeCell ref="B155:C155"/>
    <mergeCell ref="B160:C160"/>
    <mergeCell ref="B159:C159"/>
    <mergeCell ref="B158:C158"/>
    <mergeCell ref="B157:C157"/>
    <mergeCell ref="B156:C156"/>
  </mergeCells>
  <hyperlinks>
    <hyperlink ref="B156" r:id="rId1" xr:uid="{7A665325-FABD-4C35-AB49-4D599CAF529F}"/>
    <hyperlink ref="B157" r:id="rId2" xr:uid="{C2AE2973-7B06-48DC-A7AD-47ECB2BD98E1}"/>
    <hyperlink ref="B159" r:id="rId3" xr:uid="{FA9BC46C-1C38-439F-AC0C-1A936AC90063}"/>
    <hyperlink ref="B158" r:id="rId4" xr:uid="{2918F3CC-C8DC-48B4-8C8E-BDA94A06DB6C}"/>
    <hyperlink ref="B160" r:id="rId5" xr:uid="{102B0DDB-6F53-4E95-9CBF-91E624A2B79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7AB2-4268-4B28-BEA6-3CDD22967CD3}">
  <dimension ref="A1:R125"/>
  <sheetViews>
    <sheetView zoomScale="80" zoomScaleNormal="80" workbookViewId="0">
      <pane ySplit="1" topLeftCell="A86" activePane="bottomLeft" state="frozen"/>
      <selection pane="bottomLeft" activeCell="D1" sqref="D1"/>
    </sheetView>
  </sheetViews>
  <sheetFormatPr defaultRowHeight="14.4" x14ac:dyDescent="0.3"/>
  <cols>
    <col min="1" max="1" width="9.6640625" bestFit="1" customWidth="1"/>
    <col min="2" max="2" width="88.33203125" bestFit="1" customWidth="1"/>
    <col min="3" max="3" width="22.6640625" style="2" bestFit="1" customWidth="1"/>
    <col min="4" max="4" width="18.44140625" bestFit="1" customWidth="1"/>
    <col min="5" max="5" width="25.6640625" bestFit="1" customWidth="1"/>
    <col min="6" max="6" width="15.5546875" style="5" bestFit="1" customWidth="1"/>
    <col min="7" max="7" width="5.5546875" bestFit="1" customWidth="1"/>
    <col min="8" max="8" width="22.109375" style="5" bestFit="1" customWidth="1"/>
    <col min="9" max="9" width="5.5546875" bestFit="1" customWidth="1"/>
    <col min="10" max="10" width="15.33203125" bestFit="1" customWidth="1"/>
    <col min="11" max="11" width="27.33203125" bestFit="1" customWidth="1"/>
    <col min="12" max="12" width="10" style="5" bestFit="1" customWidth="1"/>
    <col min="13" max="13" width="7.109375" style="3" bestFit="1" customWidth="1"/>
    <col min="14" max="14" width="17.44140625" bestFit="1" customWidth="1"/>
    <col min="15" max="15" width="4.88671875" bestFit="1" customWidth="1"/>
    <col min="16" max="16" width="12.109375" bestFit="1" customWidth="1"/>
    <col min="17" max="17" width="4.88671875" bestFit="1" customWidth="1"/>
    <col min="18" max="18" width="77.6640625" bestFit="1" customWidth="1"/>
  </cols>
  <sheetData>
    <row r="1" spans="1:18" x14ac:dyDescent="0.3">
      <c r="A1" s="14" t="s">
        <v>677</v>
      </c>
      <c r="B1" s="15" t="s">
        <v>572</v>
      </c>
      <c r="C1" s="15" t="s">
        <v>0</v>
      </c>
      <c r="D1" s="15" t="s">
        <v>1316</v>
      </c>
      <c r="E1" s="15" t="s">
        <v>573</v>
      </c>
      <c r="F1" s="22" t="s">
        <v>574</v>
      </c>
      <c r="G1" s="15" t="s">
        <v>2</v>
      </c>
      <c r="H1" s="22" t="s">
        <v>706</v>
      </c>
      <c r="I1" s="15" t="s">
        <v>2</v>
      </c>
      <c r="J1" s="15" t="s">
        <v>707</v>
      </c>
      <c r="K1" s="15" t="s">
        <v>708</v>
      </c>
      <c r="L1" s="22" t="s">
        <v>709</v>
      </c>
      <c r="M1" s="21" t="s">
        <v>2</v>
      </c>
      <c r="N1" s="15" t="s">
        <v>678</v>
      </c>
      <c r="O1" s="15" t="s">
        <v>2</v>
      </c>
      <c r="P1" s="15" t="s">
        <v>4</v>
      </c>
      <c r="Q1" s="15" t="s">
        <v>2</v>
      </c>
      <c r="R1" s="16" t="s">
        <v>577</v>
      </c>
    </row>
    <row r="2" spans="1:18" x14ac:dyDescent="0.3">
      <c r="A2" s="17">
        <v>1</v>
      </c>
      <c r="B2" s="23" t="s">
        <v>710</v>
      </c>
      <c r="C2" s="8" t="s">
        <v>711</v>
      </c>
      <c r="D2" s="23" t="s">
        <v>680</v>
      </c>
      <c r="E2" s="23" t="s">
        <v>13</v>
      </c>
      <c r="F2" s="7" t="s">
        <v>13</v>
      </c>
      <c r="G2" s="23" t="s">
        <v>753</v>
      </c>
      <c r="H2" s="7" t="s">
        <v>13</v>
      </c>
      <c r="I2" s="23" t="s">
        <v>753</v>
      </c>
      <c r="J2" s="23" t="s">
        <v>712</v>
      </c>
      <c r="K2" s="23" t="s">
        <v>713</v>
      </c>
      <c r="L2" s="7">
        <v>160000</v>
      </c>
      <c r="M2" s="6" t="s">
        <v>714</v>
      </c>
      <c r="N2" s="23">
        <v>69</v>
      </c>
      <c r="O2" s="23" t="s">
        <v>582</v>
      </c>
      <c r="P2" s="23">
        <v>37.22</v>
      </c>
      <c r="Q2" s="23" t="s">
        <v>12</v>
      </c>
      <c r="R2" s="24" t="s">
        <v>681</v>
      </c>
    </row>
    <row r="3" spans="1:18" x14ac:dyDescent="0.3">
      <c r="A3" s="17">
        <v>2</v>
      </c>
      <c r="B3" s="23" t="s">
        <v>715</v>
      </c>
      <c r="C3" s="8" t="s">
        <v>716</v>
      </c>
      <c r="D3" s="23" t="s">
        <v>698</v>
      </c>
      <c r="E3" s="23" t="s">
        <v>52</v>
      </c>
      <c r="F3" s="7" t="s">
        <v>13</v>
      </c>
      <c r="G3" s="23" t="s">
        <v>583</v>
      </c>
      <c r="H3" s="7" t="s">
        <v>13</v>
      </c>
      <c r="I3" s="23" t="s">
        <v>753</v>
      </c>
      <c r="J3" s="23" t="s">
        <v>717</v>
      </c>
      <c r="K3" s="23" t="s">
        <v>13</v>
      </c>
      <c r="L3" s="7" t="s">
        <v>13</v>
      </c>
      <c r="M3" s="6" t="s">
        <v>20</v>
      </c>
      <c r="N3" s="23">
        <v>14.59</v>
      </c>
      <c r="O3" s="23" t="s">
        <v>582</v>
      </c>
      <c r="P3" s="23">
        <v>10.199999999999999</v>
      </c>
      <c r="Q3" s="23" t="s">
        <v>12</v>
      </c>
      <c r="R3" s="24" t="s">
        <v>702</v>
      </c>
    </row>
    <row r="4" spans="1:18" x14ac:dyDescent="0.3">
      <c r="A4" s="17">
        <v>3</v>
      </c>
      <c r="B4" s="23" t="s">
        <v>718</v>
      </c>
      <c r="C4" s="8" t="s">
        <v>719</v>
      </c>
      <c r="D4" s="23" t="s">
        <v>686</v>
      </c>
      <c r="E4" s="23" t="s">
        <v>41</v>
      </c>
      <c r="F4" s="7" t="s">
        <v>13</v>
      </c>
      <c r="G4" s="23" t="s">
        <v>583</v>
      </c>
      <c r="H4" s="7" t="s">
        <v>13</v>
      </c>
      <c r="I4" s="23" t="s">
        <v>753</v>
      </c>
      <c r="J4" s="23" t="s">
        <v>717</v>
      </c>
      <c r="K4" s="23" t="s">
        <v>13</v>
      </c>
      <c r="L4" s="7" t="s">
        <v>13</v>
      </c>
      <c r="M4" s="6" t="s">
        <v>20</v>
      </c>
      <c r="N4" s="23">
        <v>14.14</v>
      </c>
      <c r="O4" s="23" t="s">
        <v>582</v>
      </c>
      <c r="P4" s="23">
        <v>41.5</v>
      </c>
      <c r="Q4" s="23" t="s">
        <v>12</v>
      </c>
      <c r="R4" s="24" t="s">
        <v>688</v>
      </c>
    </row>
    <row r="5" spans="1:18" x14ac:dyDescent="0.3">
      <c r="A5" s="17">
        <v>4</v>
      </c>
      <c r="B5" s="23" t="s">
        <v>720</v>
      </c>
      <c r="C5" s="8" t="s">
        <v>721</v>
      </c>
      <c r="D5" s="23" t="s">
        <v>686</v>
      </c>
      <c r="E5" s="23" t="s">
        <v>13</v>
      </c>
      <c r="F5" s="7" t="s">
        <v>13</v>
      </c>
      <c r="G5" s="23" t="s">
        <v>753</v>
      </c>
      <c r="H5" s="7" t="s">
        <v>13</v>
      </c>
      <c r="I5" s="23" t="s">
        <v>753</v>
      </c>
      <c r="J5" s="23" t="s">
        <v>712</v>
      </c>
      <c r="K5" s="23" t="s">
        <v>13</v>
      </c>
      <c r="L5" s="7" t="s">
        <v>13</v>
      </c>
      <c r="M5" s="6" t="s">
        <v>20</v>
      </c>
      <c r="N5" s="23">
        <v>20.440000000000001</v>
      </c>
      <c r="O5" s="23" t="s">
        <v>582</v>
      </c>
      <c r="P5" s="23">
        <v>30</v>
      </c>
      <c r="Q5" s="23" t="s">
        <v>12</v>
      </c>
      <c r="R5" s="24" t="s">
        <v>687</v>
      </c>
    </row>
    <row r="6" spans="1:18" x14ac:dyDescent="0.3">
      <c r="A6" s="17">
        <v>5</v>
      </c>
      <c r="B6" s="23" t="s">
        <v>722</v>
      </c>
      <c r="C6" s="8" t="s">
        <v>723</v>
      </c>
      <c r="D6" s="23" t="s">
        <v>690</v>
      </c>
      <c r="E6" s="23" t="s">
        <v>41</v>
      </c>
      <c r="F6" s="7" t="s">
        <v>13</v>
      </c>
      <c r="G6" s="23" t="s">
        <v>753</v>
      </c>
      <c r="H6" s="7" t="s">
        <v>13</v>
      </c>
      <c r="I6" s="23" t="s">
        <v>753</v>
      </c>
      <c r="J6" s="23" t="s">
        <v>712</v>
      </c>
      <c r="K6" s="23" t="s">
        <v>13</v>
      </c>
      <c r="L6" s="7" t="s">
        <v>13</v>
      </c>
      <c r="M6" s="6" t="s">
        <v>20</v>
      </c>
      <c r="N6" s="23">
        <v>30.360000000000003</v>
      </c>
      <c r="O6" s="23" t="s">
        <v>582</v>
      </c>
      <c r="P6" s="23">
        <v>5</v>
      </c>
      <c r="Q6" s="23" t="s">
        <v>12</v>
      </c>
      <c r="R6" s="24" t="s">
        <v>724</v>
      </c>
    </row>
    <row r="7" spans="1:18" x14ac:dyDescent="0.3">
      <c r="A7" s="17">
        <v>6</v>
      </c>
      <c r="B7" s="23" t="s">
        <v>725</v>
      </c>
      <c r="C7" s="8" t="s">
        <v>726</v>
      </c>
      <c r="D7" s="23" t="s">
        <v>698</v>
      </c>
      <c r="E7" s="23" t="s">
        <v>61</v>
      </c>
      <c r="F7" s="7" t="s">
        <v>13</v>
      </c>
      <c r="G7" s="23" t="s">
        <v>583</v>
      </c>
      <c r="H7" s="7" t="s">
        <v>13</v>
      </c>
      <c r="I7" s="23" t="s">
        <v>753</v>
      </c>
      <c r="J7" s="23" t="s">
        <v>717</v>
      </c>
      <c r="K7" s="23" t="s">
        <v>727</v>
      </c>
      <c r="L7" s="7" t="s">
        <v>13</v>
      </c>
      <c r="M7" s="6" t="s">
        <v>20</v>
      </c>
      <c r="N7" s="23">
        <v>0.38</v>
      </c>
      <c r="O7" s="23" t="s">
        <v>582</v>
      </c>
      <c r="P7" s="23">
        <v>1</v>
      </c>
      <c r="Q7" s="23" t="s">
        <v>12</v>
      </c>
      <c r="R7" s="24" t="s">
        <v>703</v>
      </c>
    </row>
    <row r="8" spans="1:18" x14ac:dyDescent="0.3">
      <c r="A8" s="17">
        <v>7</v>
      </c>
      <c r="B8" s="23" t="s">
        <v>728</v>
      </c>
      <c r="C8" s="8" t="s">
        <v>729</v>
      </c>
      <c r="D8" s="23" t="s">
        <v>695</v>
      </c>
      <c r="E8" s="23" t="s">
        <v>52</v>
      </c>
      <c r="F8" s="7" t="s">
        <v>13</v>
      </c>
      <c r="G8" s="23" t="s">
        <v>753</v>
      </c>
      <c r="H8" s="7" t="s">
        <v>13</v>
      </c>
      <c r="I8" s="23" t="s">
        <v>753</v>
      </c>
      <c r="J8" s="23" t="s">
        <v>712</v>
      </c>
      <c r="K8" s="23" t="s">
        <v>13</v>
      </c>
      <c r="L8" s="7" t="s">
        <v>13</v>
      </c>
      <c r="M8" s="6" t="s">
        <v>20</v>
      </c>
      <c r="N8" s="23">
        <v>149.44</v>
      </c>
      <c r="O8" s="23" t="s">
        <v>582</v>
      </c>
      <c r="P8" s="23">
        <v>19</v>
      </c>
      <c r="Q8" s="23" t="s">
        <v>12</v>
      </c>
      <c r="R8" s="24" t="s">
        <v>696</v>
      </c>
    </row>
    <row r="9" spans="1:18" x14ac:dyDescent="0.3">
      <c r="A9" s="17">
        <v>8</v>
      </c>
      <c r="B9" s="23" t="s">
        <v>730</v>
      </c>
      <c r="C9" s="8">
        <v>5991055</v>
      </c>
      <c r="D9" s="23" t="s">
        <v>698</v>
      </c>
      <c r="E9" s="23" t="s">
        <v>61</v>
      </c>
      <c r="F9" s="7" t="s">
        <v>13</v>
      </c>
      <c r="G9" s="23" t="s">
        <v>20</v>
      </c>
      <c r="H9" s="7" t="s">
        <v>13</v>
      </c>
      <c r="I9" s="23" t="s">
        <v>753</v>
      </c>
      <c r="J9" s="23" t="s">
        <v>717</v>
      </c>
      <c r="K9" s="23" t="s">
        <v>727</v>
      </c>
      <c r="L9" s="7">
        <v>1300000</v>
      </c>
      <c r="M9" s="6" t="s">
        <v>714</v>
      </c>
      <c r="N9" s="23">
        <v>148.19</v>
      </c>
      <c r="O9" s="23" t="s">
        <v>582</v>
      </c>
      <c r="P9" s="23">
        <v>15</v>
      </c>
      <c r="Q9" s="23" t="s">
        <v>12</v>
      </c>
      <c r="R9" s="24" t="s">
        <v>699</v>
      </c>
    </row>
    <row r="10" spans="1:18" x14ac:dyDescent="0.3">
      <c r="A10" s="17">
        <v>9</v>
      </c>
      <c r="B10" s="23" t="s">
        <v>731</v>
      </c>
      <c r="C10" s="8" t="s">
        <v>732</v>
      </c>
      <c r="D10" s="23" t="s">
        <v>680</v>
      </c>
      <c r="E10" s="23" t="s">
        <v>13</v>
      </c>
      <c r="F10" s="7" t="s">
        <v>13</v>
      </c>
      <c r="G10" s="23" t="s">
        <v>753</v>
      </c>
      <c r="H10" s="7" t="s">
        <v>13</v>
      </c>
      <c r="I10" s="23" t="s">
        <v>753</v>
      </c>
      <c r="J10" s="23" t="s">
        <v>712</v>
      </c>
      <c r="K10" s="23" t="s">
        <v>727</v>
      </c>
      <c r="L10" s="7">
        <v>1400000</v>
      </c>
      <c r="M10" s="6" t="s">
        <v>714</v>
      </c>
      <c r="N10" s="23">
        <v>3.1599999999999997</v>
      </c>
      <c r="O10" s="23" t="s">
        <v>582</v>
      </c>
      <c r="P10" s="23">
        <v>17.84</v>
      </c>
      <c r="Q10" s="23" t="s">
        <v>12</v>
      </c>
      <c r="R10" s="24" t="s">
        <v>682</v>
      </c>
    </row>
    <row r="11" spans="1:18" x14ac:dyDescent="0.3">
      <c r="A11" s="17">
        <v>10</v>
      </c>
      <c r="B11" s="23" t="s">
        <v>733</v>
      </c>
      <c r="C11" s="8" t="s">
        <v>734</v>
      </c>
      <c r="D11" s="23" t="s">
        <v>680</v>
      </c>
      <c r="E11" s="23" t="s">
        <v>13</v>
      </c>
      <c r="F11" s="7" t="s">
        <v>13</v>
      </c>
      <c r="G11" s="23" t="s">
        <v>753</v>
      </c>
      <c r="H11" s="7" t="s">
        <v>13</v>
      </c>
      <c r="I11" s="23" t="s">
        <v>753</v>
      </c>
      <c r="J11" s="23" t="s">
        <v>712</v>
      </c>
      <c r="K11" s="23" t="s">
        <v>727</v>
      </c>
      <c r="L11" s="7">
        <v>1400000</v>
      </c>
      <c r="M11" s="6" t="s">
        <v>714</v>
      </c>
      <c r="N11" s="23">
        <v>3.9699999999999998</v>
      </c>
      <c r="O11" s="23" t="s">
        <v>582</v>
      </c>
      <c r="P11" s="23">
        <v>17.84</v>
      </c>
      <c r="Q11" s="23" t="s">
        <v>12</v>
      </c>
      <c r="R11" s="24" t="s">
        <v>682</v>
      </c>
    </row>
    <row r="12" spans="1:18" x14ac:dyDescent="0.3">
      <c r="A12" s="17">
        <v>11</v>
      </c>
      <c r="B12" s="23" t="s">
        <v>735</v>
      </c>
      <c r="C12" s="8" t="s">
        <v>736</v>
      </c>
      <c r="D12" s="23" t="s">
        <v>698</v>
      </c>
      <c r="E12" s="23" t="s">
        <v>52</v>
      </c>
      <c r="F12" s="7" t="s">
        <v>13</v>
      </c>
      <c r="G12" s="23" t="s">
        <v>583</v>
      </c>
      <c r="H12" s="7" t="s">
        <v>13</v>
      </c>
      <c r="I12" s="23" t="s">
        <v>753</v>
      </c>
      <c r="J12" s="23" t="s">
        <v>717</v>
      </c>
      <c r="K12" s="23" t="s">
        <v>737</v>
      </c>
      <c r="L12" s="7">
        <v>12</v>
      </c>
      <c r="M12" s="6" t="s">
        <v>673</v>
      </c>
      <c r="N12" s="23">
        <v>10.459999999999999</v>
      </c>
      <c r="O12" s="23" t="s">
        <v>582</v>
      </c>
      <c r="P12" s="23">
        <v>2</v>
      </c>
      <c r="Q12" s="23" t="s">
        <v>12</v>
      </c>
      <c r="R12" s="24" t="s">
        <v>704</v>
      </c>
    </row>
    <row r="13" spans="1:18" x14ac:dyDescent="0.3">
      <c r="A13" s="17">
        <v>12</v>
      </c>
      <c r="B13" s="23" t="s">
        <v>738</v>
      </c>
      <c r="C13" s="8" t="s">
        <v>739</v>
      </c>
      <c r="D13" s="23" t="s">
        <v>698</v>
      </c>
      <c r="E13" s="23" t="s">
        <v>52</v>
      </c>
      <c r="F13" s="7" t="s">
        <v>13</v>
      </c>
      <c r="G13" s="23" t="s">
        <v>583</v>
      </c>
      <c r="H13" s="7" t="s">
        <v>13</v>
      </c>
      <c r="I13" s="23" t="s">
        <v>753</v>
      </c>
      <c r="J13" s="23" t="s">
        <v>717</v>
      </c>
      <c r="K13" s="23" t="s">
        <v>737</v>
      </c>
      <c r="L13" s="7">
        <v>12</v>
      </c>
      <c r="M13" s="6" t="s">
        <v>673</v>
      </c>
      <c r="N13" s="23">
        <v>13.02</v>
      </c>
      <c r="O13" s="23" t="s">
        <v>582</v>
      </c>
      <c r="P13" s="23">
        <v>1</v>
      </c>
      <c r="Q13" s="23" t="s">
        <v>12</v>
      </c>
      <c r="R13" s="24" t="s">
        <v>704</v>
      </c>
    </row>
    <row r="14" spans="1:18" x14ac:dyDescent="0.3">
      <c r="A14" s="17">
        <v>13</v>
      </c>
      <c r="B14" s="23" t="s">
        <v>740</v>
      </c>
      <c r="C14" s="8" t="s">
        <v>741</v>
      </c>
      <c r="D14" s="23" t="s">
        <v>698</v>
      </c>
      <c r="E14" s="23" t="s">
        <v>52</v>
      </c>
      <c r="F14" s="7" t="s">
        <v>13</v>
      </c>
      <c r="G14" s="23" t="s">
        <v>583</v>
      </c>
      <c r="H14" s="7" t="s">
        <v>13</v>
      </c>
      <c r="I14" s="23" t="s">
        <v>753</v>
      </c>
      <c r="J14" s="23" t="s">
        <v>717</v>
      </c>
      <c r="K14" s="23" t="s">
        <v>737</v>
      </c>
      <c r="L14" s="7">
        <v>12</v>
      </c>
      <c r="M14" s="6" t="s">
        <v>673</v>
      </c>
      <c r="N14" s="23">
        <v>10.459999999999999</v>
      </c>
      <c r="O14" s="23" t="s">
        <v>582</v>
      </c>
      <c r="P14" s="23">
        <v>0.75</v>
      </c>
      <c r="Q14" s="23" t="s">
        <v>12</v>
      </c>
      <c r="R14" s="24" t="s">
        <v>704</v>
      </c>
    </row>
    <row r="15" spans="1:18" x14ac:dyDescent="0.3">
      <c r="A15" s="17">
        <v>14</v>
      </c>
      <c r="B15" s="23" t="s">
        <v>742</v>
      </c>
      <c r="C15" s="8" t="s">
        <v>743</v>
      </c>
      <c r="D15" s="23" t="s">
        <v>698</v>
      </c>
      <c r="E15" s="23" t="s">
        <v>744</v>
      </c>
      <c r="F15" s="7" t="s">
        <v>13</v>
      </c>
      <c r="G15" s="23" t="s">
        <v>583</v>
      </c>
      <c r="H15" s="7" t="s">
        <v>13</v>
      </c>
      <c r="I15" s="23" t="s">
        <v>753</v>
      </c>
      <c r="J15" s="23" t="s">
        <v>717</v>
      </c>
      <c r="K15" s="23" t="s">
        <v>737</v>
      </c>
      <c r="L15" s="7">
        <v>10</v>
      </c>
      <c r="M15" s="6" t="s">
        <v>673</v>
      </c>
      <c r="N15" s="23">
        <v>30.14</v>
      </c>
      <c r="O15" s="23" t="s">
        <v>582</v>
      </c>
      <c r="P15" s="23">
        <v>3.0199999999999996</v>
      </c>
      <c r="Q15" s="23" t="s">
        <v>12</v>
      </c>
      <c r="R15" s="24" t="s">
        <v>700</v>
      </c>
    </row>
    <row r="16" spans="1:18" x14ac:dyDescent="0.3">
      <c r="A16" s="17">
        <v>15</v>
      </c>
      <c r="B16" s="23" t="s">
        <v>742</v>
      </c>
      <c r="C16" s="8" t="s">
        <v>745</v>
      </c>
      <c r="D16" s="23" t="s">
        <v>698</v>
      </c>
      <c r="E16" s="23" t="s">
        <v>744</v>
      </c>
      <c r="F16" s="7" t="s">
        <v>13</v>
      </c>
      <c r="G16" s="23" t="s">
        <v>583</v>
      </c>
      <c r="H16" s="7" t="s">
        <v>13</v>
      </c>
      <c r="I16" s="23" t="s">
        <v>753</v>
      </c>
      <c r="J16" s="23" t="s">
        <v>717</v>
      </c>
      <c r="K16" s="23" t="s">
        <v>737</v>
      </c>
      <c r="L16" s="7">
        <v>19.2</v>
      </c>
      <c r="M16" s="6" t="s">
        <v>673</v>
      </c>
      <c r="N16" s="23">
        <v>69.12</v>
      </c>
      <c r="O16" s="23" t="s">
        <v>582</v>
      </c>
      <c r="P16" s="23">
        <v>5.37</v>
      </c>
      <c r="Q16" s="23" t="s">
        <v>12</v>
      </c>
      <c r="R16" s="24" t="s">
        <v>701</v>
      </c>
    </row>
    <row r="17" spans="1:18" x14ac:dyDescent="0.3">
      <c r="A17" s="17">
        <v>16</v>
      </c>
      <c r="B17" s="23" t="s">
        <v>742</v>
      </c>
      <c r="C17" s="8" t="s">
        <v>746</v>
      </c>
      <c r="D17" s="23" t="s">
        <v>698</v>
      </c>
      <c r="E17" s="23" t="s">
        <v>744</v>
      </c>
      <c r="F17" s="7" t="s">
        <v>13</v>
      </c>
      <c r="G17" s="23" t="s">
        <v>583</v>
      </c>
      <c r="H17" s="7" t="s">
        <v>13</v>
      </c>
      <c r="I17" s="23" t="s">
        <v>753</v>
      </c>
      <c r="J17" s="23" t="s">
        <v>717</v>
      </c>
      <c r="K17" s="23" t="s">
        <v>737</v>
      </c>
      <c r="L17" s="7">
        <v>37.9</v>
      </c>
      <c r="M17" s="6" t="s">
        <v>673</v>
      </c>
      <c r="N17" s="23">
        <v>172.8</v>
      </c>
      <c r="O17" s="23" t="s">
        <v>582</v>
      </c>
      <c r="P17" s="23">
        <v>15.76</v>
      </c>
      <c r="Q17" s="23" t="s">
        <v>12</v>
      </c>
      <c r="R17" s="24" t="s">
        <v>701</v>
      </c>
    </row>
    <row r="18" spans="1:18" x14ac:dyDescent="0.3">
      <c r="A18" s="17">
        <v>17</v>
      </c>
      <c r="B18" s="23" t="s">
        <v>747</v>
      </c>
      <c r="C18" s="8" t="s">
        <v>748</v>
      </c>
      <c r="D18" s="23" t="s">
        <v>680</v>
      </c>
      <c r="E18" s="23" t="s">
        <v>13</v>
      </c>
      <c r="F18" s="7" t="s">
        <v>13</v>
      </c>
      <c r="G18" s="23" t="s">
        <v>753</v>
      </c>
      <c r="H18" s="7" t="s">
        <v>13</v>
      </c>
      <c r="I18" s="23" t="s">
        <v>753</v>
      </c>
      <c r="J18" s="23" t="s">
        <v>712</v>
      </c>
      <c r="K18" s="23" t="s">
        <v>749</v>
      </c>
      <c r="L18" s="7" t="s">
        <v>13</v>
      </c>
      <c r="M18" s="6" t="s">
        <v>20</v>
      </c>
      <c r="N18" s="23">
        <v>29</v>
      </c>
      <c r="O18" s="23" t="s">
        <v>582</v>
      </c>
      <c r="P18" s="23">
        <v>19.520000000000003</v>
      </c>
      <c r="Q18" s="23" t="s">
        <v>12</v>
      </c>
      <c r="R18" s="24" t="s">
        <v>681</v>
      </c>
    </row>
    <row r="19" spans="1:18" x14ac:dyDescent="0.3">
      <c r="A19" s="17">
        <v>18</v>
      </c>
      <c r="B19" s="23" t="s">
        <v>747</v>
      </c>
      <c r="C19" s="8" t="s">
        <v>750</v>
      </c>
      <c r="D19" s="23" t="s">
        <v>680</v>
      </c>
      <c r="E19" s="23" t="s">
        <v>13</v>
      </c>
      <c r="F19" s="7" t="s">
        <v>13</v>
      </c>
      <c r="G19" s="23" t="s">
        <v>753</v>
      </c>
      <c r="H19" s="7" t="s">
        <v>13</v>
      </c>
      <c r="I19" s="23" t="s">
        <v>753</v>
      </c>
      <c r="J19" s="23" t="s">
        <v>712</v>
      </c>
      <c r="K19" s="23" t="s">
        <v>749</v>
      </c>
      <c r="L19" s="7" t="s">
        <v>13</v>
      </c>
      <c r="M19" s="6" t="s">
        <v>20</v>
      </c>
      <c r="N19" s="23">
        <v>45</v>
      </c>
      <c r="O19" s="23" t="s">
        <v>582</v>
      </c>
      <c r="P19" s="23">
        <v>25.82</v>
      </c>
      <c r="Q19" s="23" t="s">
        <v>12</v>
      </c>
      <c r="R19" s="24" t="s">
        <v>681</v>
      </c>
    </row>
    <row r="20" spans="1:18" x14ac:dyDescent="0.3">
      <c r="A20" s="17">
        <v>19</v>
      </c>
      <c r="B20" s="23" t="s">
        <v>747</v>
      </c>
      <c r="C20" s="8" t="s">
        <v>751</v>
      </c>
      <c r="D20" s="23" t="s">
        <v>680</v>
      </c>
      <c r="E20" s="23" t="s">
        <v>13</v>
      </c>
      <c r="F20" s="7" t="s">
        <v>13</v>
      </c>
      <c r="G20" s="23" t="s">
        <v>753</v>
      </c>
      <c r="H20" s="7" t="s">
        <v>13</v>
      </c>
      <c r="I20" s="23" t="s">
        <v>753</v>
      </c>
      <c r="J20" s="23" t="s">
        <v>712</v>
      </c>
      <c r="K20" s="23" t="s">
        <v>749</v>
      </c>
      <c r="L20" s="7" t="s">
        <v>13</v>
      </c>
      <c r="M20" s="6" t="s">
        <v>20</v>
      </c>
      <c r="N20" s="23">
        <v>51</v>
      </c>
      <c r="O20" s="23" t="s">
        <v>582</v>
      </c>
      <c r="P20" s="23">
        <v>26.76</v>
      </c>
      <c r="Q20" s="23" t="s">
        <v>12</v>
      </c>
      <c r="R20" s="24" t="s">
        <v>681</v>
      </c>
    </row>
    <row r="21" spans="1:18" x14ac:dyDescent="0.3">
      <c r="A21" s="17">
        <v>20</v>
      </c>
      <c r="B21" s="23" t="s">
        <v>747</v>
      </c>
      <c r="C21" s="8" t="s">
        <v>752</v>
      </c>
      <c r="D21" s="23" t="s">
        <v>680</v>
      </c>
      <c r="E21" s="23" t="s">
        <v>13</v>
      </c>
      <c r="F21" s="7" t="s">
        <v>13</v>
      </c>
      <c r="G21" s="23" t="s">
        <v>753</v>
      </c>
      <c r="H21" s="7" t="s">
        <v>13</v>
      </c>
      <c r="I21" s="23" t="s">
        <v>753</v>
      </c>
      <c r="J21" s="23" t="s">
        <v>712</v>
      </c>
      <c r="K21" s="23" t="s">
        <v>749</v>
      </c>
      <c r="L21" s="7" t="s">
        <v>13</v>
      </c>
      <c r="M21" s="6" t="s">
        <v>20</v>
      </c>
      <c r="N21" s="23">
        <v>57</v>
      </c>
      <c r="O21" s="23" t="s">
        <v>582</v>
      </c>
      <c r="P21" s="23">
        <v>36.15</v>
      </c>
      <c r="Q21" s="23" t="s">
        <v>12</v>
      </c>
      <c r="R21" s="24" t="s">
        <v>681</v>
      </c>
    </row>
    <row r="22" spans="1:18" x14ac:dyDescent="0.3">
      <c r="A22" s="17">
        <v>21</v>
      </c>
      <c r="B22" s="23" t="s">
        <v>754</v>
      </c>
      <c r="C22" s="8" t="s">
        <v>755</v>
      </c>
      <c r="D22" s="23" t="s">
        <v>695</v>
      </c>
      <c r="E22" s="23" t="s">
        <v>52</v>
      </c>
      <c r="F22" s="7" t="s">
        <v>13</v>
      </c>
      <c r="G22" s="23" t="s">
        <v>753</v>
      </c>
      <c r="H22" s="7" t="s">
        <v>13</v>
      </c>
      <c r="I22" s="23" t="s">
        <v>753</v>
      </c>
      <c r="J22" s="23" t="s">
        <v>712</v>
      </c>
      <c r="K22" s="23" t="s">
        <v>756</v>
      </c>
      <c r="L22" s="7" t="s">
        <v>13</v>
      </c>
      <c r="M22" s="6" t="s">
        <v>20</v>
      </c>
      <c r="N22" s="23">
        <v>4.9000000000000004</v>
      </c>
      <c r="O22" s="23" t="s">
        <v>582</v>
      </c>
      <c r="P22" s="23">
        <v>4.43</v>
      </c>
      <c r="Q22" s="23" t="s">
        <v>12</v>
      </c>
      <c r="R22" s="24" t="s">
        <v>697</v>
      </c>
    </row>
    <row r="23" spans="1:18" x14ac:dyDescent="0.3">
      <c r="A23" s="17">
        <v>22</v>
      </c>
      <c r="B23" s="23" t="s">
        <v>754</v>
      </c>
      <c r="C23" s="8" t="s">
        <v>757</v>
      </c>
      <c r="D23" s="23" t="s">
        <v>695</v>
      </c>
      <c r="E23" s="23" t="s">
        <v>52</v>
      </c>
      <c r="F23" s="7" t="s">
        <v>13</v>
      </c>
      <c r="G23" s="23" t="s">
        <v>753</v>
      </c>
      <c r="H23" s="7" t="s">
        <v>13</v>
      </c>
      <c r="I23" s="23" t="s">
        <v>753</v>
      </c>
      <c r="J23" s="23" t="s">
        <v>712</v>
      </c>
      <c r="K23" s="23" t="s">
        <v>756</v>
      </c>
      <c r="L23" s="7" t="s">
        <v>13</v>
      </c>
      <c r="M23" s="6" t="s">
        <v>20</v>
      </c>
      <c r="N23" s="23">
        <v>8.1999999999999993</v>
      </c>
      <c r="O23" s="23" t="s">
        <v>582</v>
      </c>
      <c r="P23" s="23">
        <v>4.97</v>
      </c>
      <c r="Q23" s="23" t="s">
        <v>12</v>
      </c>
      <c r="R23" s="24" t="s">
        <v>697</v>
      </c>
    </row>
    <row r="24" spans="1:18" x14ac:dyDescent="0.3">
      <c r="A24" s="17">
        <v>23</v>
      </c>
      <c r="B24" s="23" t="s">
        <v>754</v>
      </c>
      <c r="C24" s="8" t="s">
        <v>758</v>
      </c>
      <c r="D24" s="23" t="s">
        <v>695</v>
      </c>
      <c r="E24" s="23" t="s">
        <v>52</v>
      </c>
      <c r="F24" s="7" t="s">
        <v>13</v>
      </c>
      <c r="G24" s="23" t="s">
        <v>753</v>
      </c>
      <c r="H24" s="7" t="s">
        <v>13</v>
      </c>
      <c r="I24" s="23" t="s">
        <v>753</v>
      </c>
      <c r="J24" s="23" t="s">
        <v>712</v>
      </c>
      <c r="K24" s="23" t="s">
        <v>756</v>
      </c>
      <c r="L24" s="7" t="s">
        <v>13</v>
      </c>
      <c r="M24" s="6" t="s">
        <v>20</v>
      </c>
      <c r="N24" s="23">
        <v>8</v>
      </c>
      <c r="O24" s="23" t="s">
        <v>582</v>
      </c>
      <c r="P24" s="23">
        <v>6.9799999999999995</v>
      </c>
      <c r="Q24" s="23" t="s">
        <v>12</v>
      </c>
      <c r="R24" s="24" t="s">
        <v>697</v>
      </c>
    </row>
    <row r="25" spans="1:18" x14ac:dyDescent="0.3">
      <c r="A25" s="17">
        <v>24</v>
      </c>
      <c r="B25" s="23" t="s">
        <v>754</v>
      </c>
      <c r="C25" s="8" t="s">
        <v>759</v>
      </c>
      <c r="D25" s="23" t="s">
        <v>695</v>
      </c>
      <c r="E25" s="23" t="s">
        <v>52</v>
      </c>
      <c r="F25" s="7" t="s">
        <v>13</v>
      </c>
      <c r="G25" s="23" t="s">
        <v>753</v>
      </c>
      <c r="H25" s="7" t="s">
        <v>13</v>
      </c>
      <c r="I25" s="23" t="s">
        <v>753</v>
      </c>
      <c r="J25" s="23" t="s">
        <v>712</v>
      </c>
      <c r="K25" s="23" t="s">
        <v>756</v>
      </c>
      <c r="L25" s="7" t="s">
        <v>13</v>
      </c>
      <c r="M25" s="6" t="s">
        <v>20</v>
      </c>
      <c r="N25" s="23">
        <v>13.4</v>
      </c>
      <c r="O25" s="23" t="s">
        <v>582</v>
      </c>
      <c r="P25" s="23">
        <v>6.9799999999999995</v>
      </c>
      <c r="Q25" s="23" t="s">
        <v>12</v>
      </c>
      <c r="R25" s="24" t="s">
        <v>697</v>
      </c>
    </row>
    <row r="26" spans="1:18" x14ac:dyDescent="0.3">
      <c r="A26" s="17">
        <v>25</v>
      </c>
      <c r="B26" s="23" t="s">
        <v>754</v>
      </c>
      <c r="C26" s="8" t="s">
        <v>760</v>
      </c>
      <c r="D26" s="23" t="s">
        <v>695</v>
      </c>
      <c r="E26" s="23" t="s">
        <v>52</v>
      </c>
      <c r="F26" s="7" t="s">
        <v>13</v>
      </c>
      <c r="G26" s="23" t="s">
        <v>753</v>
      </c>
      <c r="H26" s="7" t="s">
        <v>13</v>
      </c>
      <c r="I26" s="23" t="s">
        <v>753</v>
      </c>
      <c r="J26" s="23" t="s">
        <v>712</v>
      </c>
      <c r="K26" s="23" t="s">
        <v>756</v>
      </c>
      <c r="L26" s="7" t="s">
        <v>13</v>
      </c>
      <c r="M26" s="6" t="s">
        <v>20</v>
      </c>
      <c r="N26" s="23">
        <v>21.5</v>
      </c>
      <c r="O26" s="23" t="s">
        <v>582</v>
      </c>
      <c r="P26" s="23">
        <v>10.06</v>
      </c>
      <c r="Q26" s="23" t="s">
        <v>12</v>
      </c>
      <c r="R26" s="24" t="s">
        <v>697</v>
      </c>
    </row>
    <row r="27" spans="1:18" x14ac:dyDescent="0.3">
      <c r="A27" s="17">
        <v>26</v>
      </c>
      <c r="B27" s="23" t="s">
        <v>754</v>
      </c>
      <c r="C27" s="8" t="s">
        <v>761</v>
      </c>
      <c r="D27" s="23" t="s">
        <v>695</v>
      </c>
      <c r="E27" s="23" t="s">
        <v>52</v>
      </c>
      <c r="F27" s="7" t="s">
        <v>13</v>
      </c>
      <c r="G27" s="23" t="s">
        <v>753</v>
      </c>
      <c r="H27" s="7" t="s">
        <v>13</v>
      </c>
      <c r="I27" s="23" t="s">
        <v>753</v>
      </c>
      <c r="J27" s="23" t="s">
        <v>712</v>
      </c>
      <c r="K27" s="23" t="s">
        <v>756</v>
      </c>
      <c r="L27" s="7" t="s">
        <v>13</v>
      </c>
      <c r="M27" s="6" t="s">
        <v>20</v>
      </c>
      <c r="N27" s="23">
        <v>18.5</v>
      </c>
      <c r="O27" s="23" t="s">
        <v>582</v>
      </c>
      <c r="P27" s="23">
        <v>10.06</v>
      </c>
      <c r="Q27" s="23" t="s">
        <v>12</v>
      </c>
      <c r="R27" s="24" t="s">
        <v>697</v>
      </c>
    </row>
    <row r="28" spans="1:18" x14ac:dyDescent="0.3">
      <c r="A28" s="17">
        <v>27</v>
      </c>
      <c r="B28" s="23" t="s">
        <v>754</v>
      </c>
      <c r="C28" s="8" t="s">
        <v>762</v>
      </c>
      <c r="D28" s="23" t="s">
        <v>695</v>
      </c>
      <c r="E28" s="23" t="s">
        <v>52</v>
      </c>
      <c r="F28" s="7" t="s">
        <v>13</v>
      </c>
      <c r="G28" s="23" t="s">
        <v>753</v>
      </c>
      <c r="H28" s="7" t="s">
        <v>13</v>
      </c>
      <c r="I28" s="23" t="s">
        <v>753</v>
      </c>
      <c r="J28" s="23" t="s">
        <v>712</v>
      </c>
      <c r="K28" s="23" t="s">
        <v>756</v>
      </c>
      <c r="L28" s="7" t="s">
        <v>13</v>
      </c>
      <c r="M28" s="6" t="s">
        <v>20</v>
      </c>
      <c r="N28" s="23">
        <v>30.8</v>
      </c>
      <c r="O28" s="23" t="s">
        <v>582</v>
      </c>
      <c r="P28" s="23">
        <v>10.06</v>
      </c>
      <c r="Q28" s="23" t="s">
        <v>12</v>
      </c>
      <c r="R28" s="24" t="s">
        <v>697</v>
      </c>
    </row>
    <row r="29" spans="1:18" x14ac:dyDescent="0.3">
      <c r="A29" s="17">
        <v>28</v>
      </c>
      <c r="B29" s="23" t="s">
        <v>754</v>
      </c>
      <c r="C29" s="8" t="s">
        <v>763</v>
      </c>
      <c r="D29" s="23" t="s">
        <v>695</v>
      </c>
      <c r="E29" s="23" t="s">
        <v>52</v>
      </c>
      <c r="F29" s="7" t="s">
        <v>13</v>
      </c>
      <c r="G29" s="23" t="s">
        <v>753</v>
      </c>
      <c r="H29" s="7" t="s">
        <v>13</v>
      </c>
      <c r="I29" s="23" t="s">
        <v>753</v>
      </c>
      <c r="J29" s="23" t="s">
        <v>712</v>
      </c>
      <c r="K29" s="23" t="s">
        <v>756</v>
      </c>
      <c r="L29" s="7" t="s">
        <v>13</v>
      </c>
      <c r="M29" s="6" t="s">
        <v>20</v>
      </c>
      <c r="N29" s="23">
        <v>49.3</v>
      </c>
      <c r="O29" s="23" t="s">
        <v>582</v>
      </c>
      <c r="P29" s="23">
        <v>14.76</v>
      </c>
      <c r="Q29" s="23" t="s">
        <v>12</v>
      </c>
      <c r="R29" s="24" t="s">
        <v>697</v>
      </c>
    </row>
    <row r="30" spans="1:18" x14ac:dyDescent="0.3">
      <c r="A30" s="17">
        <v>29</v>
      </c>
      <c r="B30" s="23" t="s">
        <v>754</v>
      </c>
      <c r="C30" s="8" t="s">
        <v>764</v>
      </c>
      <c r="D30" s="23" t="s">
        <v>695</v>
      </c>
      <c r="E30" s="23" t="s">
        <v>52</v>
      </c>
      <c r="F30" s="7" t="s">
        <v>13</v>
      </c>
      <c r="G30" s="23" t="s">
        <v>753</v>
      </c>
      <c r="H30" s="7" t="s">
        <v>13</v>
      </c>
      <c r="I30" s="23" t="s">
        <v>753</v>
      </c>
      <c r="J30" s="23" t="s">
        <v>712</v>
      </c>
      <c r="K30" s="23" t="s">
        <v>756</v>
      </c>
      <c r="L30" s="7" t="s">
        <v>13</v>
      </c>
      <c r="M30" s="6" t="s">
        <v>20</v>
      </c>
      <c r="N30" s="23">
        <v>67.7</v>
      </c>
      <c r="O30" s="23" t="s">
        <v>582</v>
      </c>
      <c r="P30" s="23">
        <v>17.440000000000001</v>
      </c>
      <c r="Q30" s="23" t="s">
        <v>12</v>
      </c>
      <c r="R30" s="24" t="s">
        <v>697</v>
      </c>
    </row>
    <row r="31" spans="1:18" x14ac:dyDescent="0.3">
      <c r="A31" s="17">
        <v>30</v>
      </c>
      <c r="B31" s="23" t="s">
        <v>754</v>
      </c>
      <c r="C31" s="8" t="s">
        <v>765</v>
      </c>
      <c r="D31" s="23" t="s">
        <v>695</v>
      </c>
      <c r="E31" s="23" t="s">
        <v>52</v>
      </c>
      <c r="F31" s="7" t="s">
        <v>13</v>
      </c>
      <c r="G31" s="23" t="s">
        <v>753</v>
      </c>
      <c r="H31" s="7" t="s">
        <v>13</v>
      </c>
      <c r="I31" s="23" t="s">
        <v>753</v>
      </c>
      <c r="J31" s="23" t="s">
        <v>712</v>
      </c>
      <c r="K31" s="23" t="s">
        <v>756</v>
      </c>
      <c r="L31" s="7" t="s">
        <v>13</v>
      </c>
      <c r="M31" s="6" t="s">
        <v>20</v>
      </c>
      <c r="N31" s="23">
        <v>48</v>
      </c>
      <c r="O31" s="23" t="s">
        <v>582</v>
      </c>
      <c r="P31" s="23">
        <v>24.810000000000002</v>
      </c>
      <c r="Q31" s="23" t="s">
        <v>12</v>
      </c>
      <c r="R31" s="24" t="s">
        <v>697</v>
      </c>
    </row>
    <row r="32" spans="1:18" x14ac:dyDescent="0.3">
      <c r="A32" s="17">
        <v>31</v>
      </c>
      <c r="B32" s="23" t="s">
        <v>754</v>
      </c>
      <c r="C32" s="8" t="s">
        <v>766</v>
      </c>
      <c r="D32" s="23" t="s">
        <v>695</v>
      </c>
      <c r="E32" s="23" t="s">
        <v>52</v>
      </c>
      <c r="F32" s="7" t="s">
        <v>13</v>
      </c>
      <c r="G32" s="23" t="s">
        <v>753</v>
      </c>
      <c r="H32" s="7" t="s">
        <v>13</v>
      </c>
      <c r="I32" s="23" t="s">
        <v>753</v>
      </c>
      <c r="J32" s="23" t="s">
        <v>712</v>
      </c>
      <c r="K32" s="23" t="s">
        <v>756</v>
      </c>
      <c r="L32" s="7" t="s">
        <v>13</v>
      </c>
      <c r="M32" s="6" t="s">
        <v>20</v>
      </c>
      <c r="N32" s="23">
        <v>96</v>
      </c>
      <c r="O32" s="23" t="s">
        <v>582</v>
      </c>
      <c r="P32" s="23">
        <v>24.810000000000002</v>
      </c>
      <c r="Q32" s="23" t="s">
        <v>12</v>
      </c>
      <c r="R32" s="24" t="s">
        <v>697</v>
      </c>
    </row>
    <row r="33" spans="1:18" x14ac:dyDescent="0.3">
      <c r="A33" s="17">
        <v>32</v>
      </c>
      <c r="B33" s="23" t="s">
        <v>754</v>
      </c>
      <c r="C33" s="8" t="s">
        <v>767</v>
      </c>
      <c r="D33" s="23" t="s">
        <v>695</v>
      </c>
      <c r="E33" s="23" t="s">
        <v>52</v>
      </c>
      <c r="F33" s="7" t="s">
        <v>13</v>
      </c>
      <c r="G33" s="23" t="s">
        <v>753</v>
      </c>
      <c r="H33" s="7" t="s">
        <v>13</v>
      </c>
      <c r="I33" s="23" t="s">
        <v>753</v>
      </c>
      <c r="J33" s="23" t="s">
        <v>712</v>
      </c>
      <c r="K33" s="23" t="s">
        <v>756</v>
      </c>
      <c r="L33" s="7" t="s">
        <v>13</v>
      </c>
      <c r="M33" s="6" t="s">
        <v>20</v>
      </c>
      <c r="N33" s="23">
        <v>132</v>
      </c>
      <c r="O33" s="23" t="s">
        <v>582</v>
      </c>
      <c r="P33" s="23">
        <v>32.19</v>
      </c>
      <c r="Q33" s="23" t="s">
        <v>12</v>
      </c>
      <c r="R33" s="24" t="s">
        <v>697</v>
      </c>
    </row>
    <row r="34" spans="1:18" x14ac:dyDescent="0.3">
      <c r="A34" s="17">
        <v>33</v>
      </c>
      <c r="B34" s="23" t="s">
        <v>754</v>
      </c>
      <c r="C34" s="8" t="s">
        <v>768</v>
      </c>
      <c r="D34" s="23" t="s">
        <v>695</v>
      </c>
      <c r="E34" s="23" t="s">
        <v>52</v>
      </c>
      <c r="F34" s="7" t="s">
        <v>13</v>
      </c>
      <c r="G34" s="23" t="s">
        <v>753</v>
      </c>
      <c r="H34" s="7" t="s">
        <v>13</v>
      </c>
      <c r="I34" s="23" t="s">
        <v>753</v>
      </c>
      <c r="J34" s="23" t="s">
        <v>712</v>
      </c>
      <c r="K34" s="23" t="s">
        <v>756</v>
      </c>
      <c r="L34" s="7" t="s">
        <v>13</v>
      </c>
      <c r="M34" s="6" t="s">
        <v>20</v>
      </c>
      <c r="N34" s="23">
        <v>180</v>
      </c>
      <c r="O34" s="23" t="s">
        <v>582</v>
      </c>
      <c r="P34" s="23">
        <v>34.869999999999997</v>
      </c>
      <c r="Q34" s="23" t="s">
        <v>12</v>
      </c>
      <c r="R34" s="24" t="s">
        <v>697</v>
      </c>
    </row>
    <row r="35" spans="1:18" x14ac:dyDescent="0.3">
      <c r="A35" s="17">
        <v>34</v>
      </c>
      <c r="B35" s="23" t="s">
        <v>769</v>
      </c>
      <c r="C35" s="8" t="s">
        <v>770</v>
      </c>
      <c r="D35" s="23" t="s">
        <v>698</v>
      </c>
      <c r="E35" s="23" t="s">
        <v>61</v>
      </c>
      <c r="F35" s="7">
        <v>60</v>
      </c>
      <c r="G35" s="23" t="s">
        <v>583</v>
      </c>
      <c r="H35" s="7" t="s">
        <v>13</v>
      </c>
      <c r="I35" s="23" t="s">
        <v>753</v>
      </c>
      <c r="J35" s="23" t="s">
        <v>717</v>
      </c>
      <c r="K35" s="23" t="s">
        <v>771</v>
      </c>
      <c r="L35" s="7" t="s">
        <v>13</v>
      </c>
      <c r="M35" s="6" t="s">
        <v>20</v>
      </c>
      <c r="N35" s="23">
        <v>7.0699999999999994</v>
      </c>
      <c r="O35" s="23" t="s">
        <v>582</v>
      </c>
      <c r="P35" s="23">
        <v>1.01</v>
      </c>
      <c r="Q35" s="23" t="s">
        <v>12</v>
      </c>
      <c r="R35" s="24" t="s">
        <v>705</v>
      </c>
    </row>
    <row r="36" spans="1:18" x14ac:dyDescent="0.3">
      <c r="A36" s="17">
        <v>35</v>
      </c>
      <c r="B36" s="23" t="s">
        <v>769</v>
      </c>
      <c r="C36" s="8" t="s">
        <v>772</v>
      </c>
      <c r="D36" s="23" t="s">
        <v>698</v>
      </c>
      <c r="E36" s="23" t="s">
        <v>61</v>
      </c>
      <c r="F36" s="7">
        <v>120</v>
      </c>
      <c r="G36" s="23" t="s">
        <v>583</v>
      </c>
      <c r="H36" s="7" t="s">
        <v>13</v>
      </c>
      <c r="I36" s="23" t="s">
        <v>753</v>
      </c>
      <c r="J36" s="23" t="s">
        <v>717</v>
      </c>
      <c r="K36" s="23" t="s">
        <v>771</v>
      </c>
      <c r="L36" s="7" t="s">
        <v>13</v>
      </c>
      <c r="M36" s="6" t="s">
        <v>20</v>
      </c>
      <c r="N36" s="23">
        <v>14.14</v>
      </c>
      <c r="O36" s="23" t="s">
        <v>582</v>
      </c>
      <c r="P36" s="23">
        <v>1.01</v>
      </c>
      <c r="Q36" s="23" t="s">
        <v>12</v>
      </c>
      <c r="R36" s="24" t="s">
        <v>705</v>
      </c>
    </row>
    <row r="37" spans="1:18" x14ac:dyDescent="0.3">
      <c r="A37" s="17">
        <v>36</v>
      </c>
      <c r="B37" s="23" t="s">
        <v>769</v>
      </c>
      <c r="C37" s="8" t="s">
        <v>773</v>
      </c>
      <c r="D37" s="23" t="s">
        <v>698</v>
      </c>
      <c r="E37" s="23" t="s">
        <v>61</v>
      </c>
      <c r="F37" s="7">
        <v>240</v>
      </c>
      <c r="G37" s="23" t="s">
        <v>583</v>
      </c>
      <c r="H37" s="7" t="s">
        <v>13</v>
      </c>
      <c r="I37" s="23" t="s">
        <v>753</v>
      </c>
      <c r="J37" s="23" t="s">
        <v>717</v>
      </c>
      <c r="K37" s="23" t="s">
        <v>771</v>
      </c>
      <c r="L37" s="7" t="s">
        <v>13</v>
      </c>
      <c r="M37" s="6" t="s">
        <v>20</v>
      </c>
      <c r="N37" s="23">
        <v>28.270000000000003</v>
      </c>
      <c r="O37" s="23" t="s">
        <v>582</v>
      </c>
      <c r="P37" s="23">
        <v>2.0199999999999996</v>
      </c>
      <c r="Q37" s="23" t="s">
        <v>12</v>
      </c>
      <c r="R37" s="24" t="s">
        <v>705</v>
      </c>
    </row>
    <row r="38" spans="1:18" x14ac:dyDescent="0.3">
      <c r="A38" s="17">
        <v>37</v>
      </c>
      <c r="B38" s="23" t="s">
        <v>769</v>
      </c>
      <c r="C38" s="8" t="s">
        <v>774</v>
      </c>
      <c r="D38" s="23" t="s">
        <v>698</v>
      </c>
      <c r="E38" s="23" t="s">
        <v>61</v>
      </c>
      <c r="F38" s="7">
        <v>360</v>
      </c>
      <c r="G38" s="23" t="s">
        <v>583</v>
      </c>
      <c r="H38" s="7" t="s">
        <v>13</v>
      </c>
      <c r="I38" s="23" t="s">
        <v>753</v>
      </c>
      <c r="J38" s="23" t="s">
        <v>717</v>
      </c>
      <c r="K38" s="23" t="s">
        <v>771</v>
      </c>
      <c r="L38" s="7" t="s">
        <v>13</v>
      </c>
      <c r="M38" s="6" t="s">
        <v>20</v>
      </c>
      <c r="N38" s="23">
        <v>42.4</v>
      </c>
      <c r="O38" s="23" t="s">
        <v>582</v>
      </c>
      <c r="P38" s="23">
        <v>3.0199999999999996</v>
      </c>
      <c r="Q38" s="23" t="s">
        <v>12</v>
      </c>
      <c r="R38" s="24" t="s">
        <v>705</v>
      </c>
    </row>
    <row r="39" spans="1:18" x14ac:dyDescent="0.3">
      <c r="A39" s="17">
        <v>38</v>
      </c>
      <c r="B39" s="23" t="s">
        <v>769</v>
      </c>
      <c r="C39" s="8" t="s">
        <v>775</v>
      </c>
      <c r="D39" s="23" t="s">
        <v>698</v>
      </c>
      <c r="E39" s="23" t="s">
        <v>61</v>
      </c>
      <c r="F39" s="7">
        <v>480</v>
      </c>
      <c r="G39" s="23" t="s">
        <v>583</v>
      </c>
      <c r="H39" s="7" t="s">
        <v>13</v>
      </c>
      <c r="I39" s="23" t="s">
        <v>753</v>
      </c>
      <c r="J39" s="23" t="s">
        <v>717</v>
      </c>
      <c r="K39" s="23" t="s">
        <v>771</v>
      </c>
      <c r="L39" s="7" t="s">
        <v>13</v>
      </c>
      <c r="M39" s="6" t="s">
        <v>20</v>
      </c>
      <c r="N39" s="23">
        <v>56.53</v>
      </c>
      <c r="O39" s="23" t="s">
        <v>582</v>
      </c>
      <c r="P39" s="23">
        <v>4.0299999999999994</v>
      </c>
      <c r="Q39" s="23" t="s">
        <v>12</v>
      </c>
      <c r="R39" s="24" t="s">
        <v>705</v>
      </c>
    </row>
    <row r="40" spans="1:18" x14ac:dyDescent="0.3">
      <c r="A40" s="17">
        <v>39</v>
      </c>
      <c r="B40" s="23" t="s">
        <v>777</v>
      </c>
      <c r="C40" s="8" t="s">
        <v>778</v>
      </c>
      <c r="D40" s="23" t="s">
        <v>686</v>
      </c>
      <c r="E40" s="23" t="s">
        <v>779</v>
      </c>
      <c r="F40" s="7" t="s">
        <v>13</v>
      </c>
      <c r="G40" s="23" t="s">
        <v>753</v>
      </c>
      <c r="H40" s="7" t="s">
        <v>13</v>
      </c>
      <c r="I40" s="23" t="s">
        <v>753</v>
      </c>
      <c r="J40" s="23" t="s">
        <v>712</v>
      </c>
      <c r="K40" s="23" t="s">
        <v>780</v>
      </c>
      <c r="L40" s="7" t="s">
        <v>13</v>
      </c>
      <c r="M40" s="6" t="s">
        <v>20</v>
      </c>
      <c r="N40" s="23">
        <v>1.5</v>
      </c>
      <c r="O40" s="23" t="s">
        <v>582</v>
      </c>
      <c r="P40" s="23">
        <v>7.72</v>
      </c>
      <c r="Q40" s="23" t="s">
        <v>12</v>
      </c>
      <c r="R40" s="24" t="s">
        <v>689</v>
      </c>
    </row>
    <row r="41" spans="1:18" x14ac:dyDescent="0.3">
      <c r="A41" s="17">
        <v>40</v>
      </c>
      <c r="B41" s="23" t="s">
        <v>777</v>
      </c>
      <c r="C41" s="8" t="s">
        <v>781</v>
      </c>
      <c r="D41" s="23" t="s">
        <v>686</v>
      </c>
      <c r="E41" s="23" t="s">
        <v>779</v>
      </c>
      <c r="F41" s="7" t="s">
        <v>13</v>
      </c>
      <c r="G41" s="23" t="s">
        <v>753</v>
      </c>
      <c r="H41" s="7" t="s">
        <v>13</v>
      </c>
      <c r="I41" s="23" t="s">
        <v>753</v>
      </c>
      <c r="J41" s="23" t="s">
        <v>712</v>
      </c>
      <c r="K41" s="23" t="s">
        <v>780</v>
      </c>
      <c r="L41" s="7" t="s">
        <v>13</v>
      </c>
      <c r="M41" s="6" t="s">
        <v>20</v>
      </c>
      <c r="N41" s="23">
        <v>3.1</v>
      </c>
      <c r="O41" s="23" t="s">
        <v>582</v>
      </c>
      <c r="P41" s="23">
        <v>8.7200000000000006</v>
      </c>
      <c r="Q41" s="23" t="s">
        <v>12</v>
      </c>
      <c r="R41" s="24" t="s">
        <v>689</v>
      </c>
    </row>
    <row r="42" spans="1:18" x14ac:dyDescent="0.3">
      <c r="A42" s="17">
        <v>41</v>
      </c>
      <c r="B42" s="23" t="s">
        <v>777</v>
      </c>
      <c r="C42" s="8" t="s">
        <v>782</v>
      </c>
      <c r="D42" s="23" t="s">
        <v>686</v>
      </c>
      <c r="E42" s="23" t="s">
        <v>779</v>
      </c>
      <c r="F42" s="7" t="s">
        <v>13</v>
      </c>
      <c r="G42" s="23" t="s">
        <v>753</v>
      </c>
      <c r="H42" s="7" t="s">
        <v>13</v>
      </c>
      <c r="I42" s="23" t="s">
        <v>753</v>
      </c>
      <c r="J42" s="23" t="s">
        <v>712</v>
      </c>
      <c r="K42" s="23" t="s">
        <v>780</v>
      </c>
      <c r="L42" s="7" t="s">
        <v>13</v>
      </c>
      <c r="M42" s="6" t="s">
        <v>20</v>
      </c>
      <c r="N42" s="23">
        <v>6.2</v>
      </c>
      <c r="O42" s="23" t="s">
        <v>582</v>
      </c>
      <c r="P42" s="23">
        <v>28.84</v>
      </c>
      <c r="Q42" s="23" t="s">
        <v>12</v>
      </c>
      <c r="R42" s="24" t="s">
        <v>689</v>
      </c>
    </row>
    <row r="43" spans="1:18" x14ac:dyDescent="0.3">
      <c r="A43" s="17">
        <v>42</v>
      </c>
      <c r="B43" s="23" t="s">
        <v>777</v>
      </c>
      <c r="C43" s="8" t="s">
        <v>783</v>
      </c>
      <c r="D43" s="23" t="s">
        <v>686</v>
      </c>
      <c r="E43" s="23" t="s">
        <v>779</v>
      </c>
      <c r="F43" s="7" t="s">
        <v>13</v>
      </c>
      <c r="G43" s="23" t="s">
        <v>753</v>
      </c>
      <c r="H43" s="7" t="s">
        <v>13</v>
      </c>
      <c r="I43" s="23" t="s">
        <v>753</v>
      </c>
      <c r="J43" s="23" t="s">
        <v>712</v>
      </c>
      <c r="K43" s="23" t="s">
        <v>780</v>
      </c>
      <c r="L43" s="7" t="s">
        <v>13</v>
      </c>
      <c r="M43" s="6" t="s">
        <v>20</v>
      </c>
      <c r="N43" s="23">
        <v>12.5</v>
      </c>
      <c r="O43" s="23" t="s">
        <v>582</v>
      </c>
      <c r="P43" s="23">
        <v>33.53</v>
      </c>
      <c r="Q43" s="23" t="s">
        <v>12</v>
      </c>
      <c r="R43" s="24" t="s">
        <v>689</v>
      </c>
    </row>
    <row r="44" spans="1:18" x14ac:dyDescent="0.3">
      <c r="A44" s="17">
        <v>43</v>
      </c>
      <c r="B44" s="23" t="s">
        <v>777</v>
      </c>
      <c r="C44" s="8" t="s">
        <v>784</v>
      </c>
      <c r="D44" s="23" t="s">
        <v>686</v>
      </c>
      <c r="E44" s="23" t="s">
        <v>779</v>
      </c>
      <c r="F44" s="7" t="s">
        <v>13</v>
      </c>
      <c r="G44" s="23" t="s">
        <v>753</v>
      </c>
      <c r="H44" s="7" t="s">
        <v>13</v>
      </c>
      <c r="I44" s="23" t="s">
        <v>753</v>
      </c>
      <c r="J44" s="23" t="s">
        <v>712</v>
      </c>
      <c r="K44" s="23" t="s">
        <v>780</v>
      </c>
      <c r="L44" s="7" t="s">
        <v>13</v>
      </c>
      <c r="M44" s="6" t="s">
        <v>20</v>
      </c>
      <c r="N44" s="23">
        <v>18.8</v>
      </c>
      <c r="O44" s="23" t="s">
        <v>582</v>
      </c>
      <c r="P44" s="23">
        <v>43.589999999999996</v>
      </c>
      <c r="Q44" s="23" t="s">
        <v>12</v>
      </c>
      <c r="R44" s="24" t="s">
        <v>689</v>
      </c>
    </row>
    <row r="45" spans="1:18" x14ac:dyDescent="0.3">
      <c r="A45" s="17">
        <v>44</v>
      </c>
      <c r="B45" s="23" t="s">
        <v>777</v>
      </c>
      <c r="C45" s="8" t="s">
        <v>785</v>
      </c>
      <c r="D45" s="23" t="s">
        <v>686</v>
      </c>
      <c r="E45" s="23" t="s">
        <v>779</v>
      </c>
      <c r="F45" s="7" t="s">
        <v>13</v>
      </c>
      <c r="G45" s="23" t="s">
        <v>753</v>
      </c>
      <c r="H45" s="7" t="s">
        <v>13</v>
      </c>
      <c r="I45" s="23" t="s">
        <v>753</v>
      </c>
      <c r="J45" s="23" t="s">
        <v>712</v>
      </c>
      <c r="K45" s="23" t="s">
        <v>780</v>
      </c>
      <c r="L45" s="7" t="s">
        <v>13</v>
      </c>
      <c r="M45" s="6" t="s">
        <v>20</v>
      </c>
      <c r="N45" s="23">
        <v>28.2</v>
      </c>
      <c r="O45" s="23" t="s">
        <v>582</v>
      </c>
      <c r="P45" s="23">
        <v>91.86</v>
      </c>
      <c r="Q45" s="23" t="s">
        <v>12</v>
      </c>
      <c r="R45" s="24" t="s">
        <v>689</v>
      </c>
    </row>
    <row r="46" spans="1:18" x14ac:dyDescent="0.3">
      <c r="A46" s="17">
        <v>45</v>
      </c>
      <c r="B46" s="23" t="s">
        <v>777</v>
      </c>
      <c r="C46" s="8" t="s">
        <v>786</v>
      </c>
      <c r="D46" s="23" t="s">
        <v>686</v>
      </c>
      <c r="E46" s="23" t="s">
        <v>779</v>
      </c>
      <c r="F46" s="7" t="s">
        <v>13</v>
      </c>
      <c r="G46" s="23" t="s">
        <v>753</v>
      </c>
      <c r="H46" s="7" t="s">
        <v>13</v>
      </c>
      <c r="I46" s="23" t="s">
        <v>753</v>
      </c>
      <c r="J46" s="23" t="s">
        <v>712</v>
      </c>
      <c r="K46" s="23" t="s">
        <v>780</v>
      </c>
      <c r="L46" s="7" t="s">
        <v>13</v>
      </c>
      <c r="M46" s="6" t="s">
        <v>20</v>
      </c>
      <c r="N46" s="23">
        <v>37.6</v>
      </c>
      <c r="O46" s="23" t="s">
        <v>582</v>
      </c>
      <c r="P46" s="23">
        <v>96.56</v>
      </c>
      <c r="Q46" s="23" t="s">
        <v>12</v>
      </c>
      <c r="R46" s="24" t="s">
        <v>689</v>
      </c>
    </row>
    <row r="47" spans="1:18" x14ac:dyDescent="0.3">
      <c r="A47" s="17">
        <v>46</v>
      </c>
      <c r="B47" s="23" t="s">
        <v>787</v>
      </c>
      <c r="C47" s="8" t="s">
        <v>778</v>
      </c>
      <c r="D47" s="23" t="s">
        <v>686</v>
      </c>
      <c r="E47" s="23" t="s">
        <v>779</v>
      </c>
      <c r="F47" s="7" t="s">
        <v>13</v>
      </c>
      <c r="G47" s="23" t="s">
        <v>753</v>
      </c>
      <c r="H47" s="7" t="s">
        <v>13</v>
      </c>
      <c r="I47" s="23" t="s">
        <v>753</v>
      </c>
      <c r="J47" s="23" t="s">
        <v>712</v>
      </c>
      <c r="K47" s="23" t="s">
        <v>780</v>
      </c>
      <c r="L47" s="7" t="s">
        <v>13</v>
      </c>
      <c r="M47" s="6" t="s">
        <v>20</v>
      </c>
      <c r="N47" s="23">
        <v>0.75</v>
      </c>
      <c r="O47" s="23" t="s">
        <v>582</v>
      </c>
      <c r="P47" s="23">
        <v>7.72</v>
      </c>
      <c r="Q47" s="23" t="s">
        <v>12</v>
      </c>
      <c r="R47" s="24" t="s">
        <v>689</v>
      </c>
    </row>
    <row r="48" spans="1:18" x14ac:dyDescent="0.3">
      <c r="A48" s="17">
        <v>47</v>
      </c>
      <c r="B48" s="23" t="s">
        <v>787</v>
      </c>
      <c r="C48" s="8" t="s">
        <v>781</v>
      </c>
      <c r="D48" s="23" t="s">
        <v>686</v>
      </c>
      <c r="E48" s="23" t="s">
        <v>779</v>
      </c>
      <c r="F48" s="7" t="s">
        <v>13</v>
      </c>
      <c r="G48" s="23" t="s">
        <v>753</v>
      </c>
      <c r="H48" s="7" t="s">
        <v>13</v>
      </c>
      <c r="I48" s="23" t="s">
        <v>753</v>
      </c>
      <c r="J48" s="23" t="s">
        <v>712</v>
      </c>
      <c r="K48" s="23" t="s">
        <v>780</v>
      </c>
      <c r="L48" s="7" t="s">
        <v>13</v>
      </c>
      <c r="M48" s="6" t="s">
        <v>20</v>
      </c>
      <c r="N48" s="23">
        <v>1.5</v>
      </c>
      <c r="O48" s="23" t="s">
        <v>582</v>
      </c>
      <c r="P48" s="23">
        <v>8.7200000000000006</v>
      </c>
      <c r="Q48" s="23" t="s">
        <v>12</v>
      </c>
      <c r="R48" s="24" t="s">
        <v>689</v>
      </c>
    </row>
    <row r="49" spans="1:18" x14ac:dyDescent="0.3">
      <c r="A49" s="17">
        <v>48</v>
      </c>
      <c r="B49" s="23" t="s">
        <v>787</v>
      </c>
      <c r="C49" s="8" t="s">
        <v>782</v>
      </c>
      <c r="D49" s="23" t="s">
        <v>686</v>
      </c>
      <c r="E49" s="23" t="s">
        <v>779</v>
      </c>
      <c r="F49" s="7" t="s">
        <v>13</v>
      </c>
      <c r="G49" s="23" t="s">
        <v>753</v>
      </c>
      <c r="H49" s="7" t="s">
        <v>13</v>
      </c>
      <c r="I49" s="23" t="s">
        <v>753</v>
      </c>
      <c r="J49" s="23" t="s">
        <v>712</v>
      </c>
      <c r="K49" s="23" t="s">
        <v>780</v>
      </c>
      <c r="L49" s="7" t="s">
        <v>13</v>
      </c>
      <c r="M49" s="6" t="s">
        <v>20</v>
      </c>
      <c r="N49" s="23">
        <v>3.1</v>
      </c>
      <c r="O49" s="23" t="s">
        <v>582</v>
      </c>
      <c r="P49" s="23">
        <v>32.19</v>
      </c>
      <c r="Q49" s="23" t="s">
        <v>12</v>
      </c>
      <c r="R49" s="24" t="s">
        <v>689</v>
      </c>
    </row>
    <row r="50" spans="1:18" x14ac:dyDescent="0.3">
      <c r="A50" s="17">
        <v>49</v>
      </c>
      <c r="B50" s="23" t="s">
        <v>787</v>
      </c>
      <c r="C50" s="8" t="s">
        <v>783</v>
      </c>
      <c r="D50" s="23" t="s">
        <v>686</v>
      </c>
      <c r="E50" s="23" t="s">
        <v>779</v>
      </c>
      <c r="F50" s="7" t="s">
        <v>13</v>
      </c>
      <c r="G50" s="23" t="s">
        <v>753</v>
      </c>
      <c r="H50" s="7" t="s">
        <v>13</v>
      </c>
      <c r="I50" s="23" t="s">
        <v>753</v>
      </c>
      <c r="J50" s="23" t="s">
        <v>712</v>
      </c>
      <c r="K50" s="23" t="s">
        <v>780</v>
      </c>
      <c r="L50" s="7" t="s">
        <v>13</v>
      </c>
      <c r="M50" s="6" t="s">
        <v>20</v>
      </c>
      <c r="N50" s="23">
        <v>6.2</v>
      </c>
      <c r="O50" s="23" t="s">
        <v>582</v>
      </c>
      <c r="P50" s="23">
        <v>36.879999999999995</v>
      </c>
      <c r="Q50" s="23" t="s">
        <v>12</v>
      </c>
      <c r="R50" s="24" t="s">
        <v>689</v>
      </c>
    </row>
    <row r="51" spans="1:18" x14ac:dyDescent="0.3">
      <c r="A51" s="17">
        <v>50</v>
      </c>
      <c r="B51" s="23" t="s">
        <v>787</v>
      </c>
      <c r="C51" s="8" t="s">
        <v>784</v>
      </c>
      <c r="D51" s="23" t="s">
        <v>686</v>
      </c>
      <c r="E51" s="23" t="s">
        <v>779</v>
      </c>
      <c r="F51" s="7" t="s">
        <v>13</v>
      </c>
      <c r="G51" s="23" t="s">
        <v>753</v>
      </c>
      <c r="H51" s="7" t="s">
        <v>13</v>
      </c>
      <c r="I51" s="23" t="s">
        <v>753</v>
      </c>
      <c r="J51" s="23" t="s">
        <v>712</v>
      </c>
      <c r="K51" s="23" t="s">
        <v>780</v>
      </c>
      <c r="L51" s="7" t="s">
        <v>13</v>
      </c>
      <c r="M51" s="6" t="s">
        <v>20</v>
      </c>
      <c r="N51" s="23">
        <v>9.4</v>
      </c>
      <c r="O51" s="23" t="s">
        <v>582</v>
      </c>
      <c r="P51" s="23">
        <v>52.3</v>
      </c>
      <c r="Q51" s="23" t="s">
        <v>12</v>
      </c>
      <c r="R51" s="24" t="s">
        <v>689</v>
      </c>
    </row>
    <row r="52" spans="1:18" x14ac:dyDescent="0.3">
      <c r="A52" s="17">
        <v>51</v>
      </c>
      <c r="B52" s="23" t="s">
        <v>787</v>
      </c>
      <c r="C52" s="8" t="s">
        <v>786</v>
      </c>
      <c r="D52" s="23" t="s">
        <v>686</v>
      </c>
      <c r="E52" s="23" t="s">
        <v>779</v>
      </c>
      <c r="F52" s="7" t="s">
        <v>13</v>
      </c>
      <c r="G52" s="23" t="s">
        <v>753</v>
      </c>
      <c r="H52" s="7" t="s">
        <v>13</v>
      </c>
      <c r="I52" s="23" t="s">
        <v>753</v>
      </c>
      <c r="J52" s="23" t="s">
        <v>712</v>
      </c>
      <c r="K52" s="23" t="s">
        <v>780</v>
      </c>
      <c r="L52" s="7" t="s">
        <v>13</v>
      </c>
      <c r="M52" s="6" t="s">
        <v>20</v>
      </c>
      <c r="N52" s="23">
        <v>18.8</v>
      </c>
      <c r="O52" s="23" t="s">
        <v>582</v>
      </c>
      <c r="P52" s="23">
        <v>95.22</v>
      </c>
      <c r="Q52" s="23" t="s">
        <v>12</v>
      </c>
      <c r="R52" s="24" t="s">
        <v>689</v>
      </c>
    </row>
    <row r="53" spans="1:18" x14ac:dyDescent="0.3">
      <c r="A53" s="17">
        <v>52</v>
      </c>
      <c r="B53" s="23" t="s">
        <v>787</v>
      </c>
      <c r="C53" s="8" t="s">
        <v>788</v>
      </c>
      <c r="D53" s="23" t="s">
        <v>686</v>
      </c>
      <c r="E53" s="23" t="s">
        <v>779</v>
      </c>
      <c r="F53" s="7" t="s">
        <v>13</v>
      </c>
      <c r="G53" s="23" t="s">
        <v>753</v>
      </c>
      <c r="H53" s="7" t="s">
        <v>13</v>
      </c>
      <c r="I53" s="23" t="s">
        <v>753</v>
      </c>
      <c r="J53" s="23" t="s">
        <v>712</v>
      </c>
      <c r="K53" s="23" t="s">
        <v>780</v>
      </c>
      <c r="L53" s="7" t="s">
        <v>13</v>
      </c>
      <c r="M53" s="6" t="s">
        <v>20</v>
      </c>
      <c r="N53" s="23">
        <v>25.1</v>
      </c>
      <c r="O53" s="23" t="s">
        <v>582</v>
      </c>
      <c r="P53" s="23">
        <v>124.05000000000001</v>
      </c>
      <c r="Q53" s="23" t="s">
        <v>12</v>
      </c>
      <c r="R53" s="24" t="s">
        <v>689</v>
      </c>
    </row>
    <row r="54" spans="1:18" x14ac:dyDescent="0.3">
      <c r="A54" s="17">
        <v>53</v>
      </c>
      <c r="B54" s="23" t="s">
        <v>787</v>
      </c>
      <c r="C54" s="8" t="s">
        <v>789</v>
      </c>
      <c r="D54" s="23" t="s">
        <v>686</v>
      </c>
      <c r="E54" s="23" t="s">
        <v>779</v>
      </c>
      <c r="F54" s="7" t="s">
        <v>13</v>
      </c>
      <c r="G54" s="23" t="s">
        <v>753</v>
      </c>
      <c r="H54" s="7" t="s">
        <v>13</v>
      </c>
      <c r="I54" s="23" t="s">
        <v>753</v>
      </c>
      <c r="J54" s="23" t="s">
        <v>712</v>
      </c>
      <c r="K54" s="23" t="s">
        <v>780</v>
      </c>
      <c r="L54" s="7" t="s">
        <v>13</v>
      </c>
      <c r="M54" s="6" t="s">
        <v>20</v>
      </c>
      <c r="N54" s="23">
        <v>28.2</v>
      </c>
      <c r="O54" s="23" t="s">
        <v>582</v>
      </c>
      <c r="P54" s="23">
        <v>130.75</v>
      </c>
      <c r="Q54" s="23" t="s">
        <v>12</v>
      </c>
      <c r="R54" s="24" t="s">
        <v>689</v>
      </c>
    </row>
    <row r="55" spans="1:18" x14ac:dyDescent="0.3">
      <c r="A55" s="17">
        <v>54</v>
      </c>
      <c r="B55" s="23" t="s">
        <v>790</v>
      </c>
      <c r="C55" s="8" t="s">
        <v>791</v>
      </c>
      <c r="D55" s="23" t="s">
        <v>690</v>
      </c>
      <c r="E55" s="23" t="s">
        <v>13</v>
      </c>
      <c r="F55" s="7" t="s">
        <v>13</v>
      </c>
      <c r="G55" s="23" t="s">
        <v>753</v>
      </c>
      <c r="H55" s="7">
        <v>15426</v>
      </c>
      <c r="I55" s="23" t="s">
        <v>753</v>
      </c>
      <c r="J55" s="23" t="s">
        <v>712</v>
      </c>
      <c r="K55" s="23" t="s">
        <v>792</v>
      </c>
      <c r="L55" s="7">
        <v>48205812</v>
      </c>
      <c r="M55" s="6" t="s">
        <v>714</v>
      </c>
      <c r="N55" s="23">
        <v>122.72</v>
      </c>
      <c r="O55" s="23" t="s">
        <v>582</v>
      </c>
      <c r="P55" s="23">
        <v>85</v>
      </c>
      <c r="Q55" s="23" t="s">
        <v>12</v>
      </c>
      <c r="R55" s="24" t="s">
        <v>693</v>
      </c>
    </row>
    <row r="56" spans="1:18" x14ac:dyDescent="0.3">
      <c r="A56" s="17">
        <v>55</v>
      </c>
      <c r="B56" s="23" t="s">
        <v>790</v>
      </c>
      <c r="C56" s="8" t="s">
        <v>793</v>
      </c>
      <c r="D56" s="23" t="s">
        <v>690</v>
      </c>
      <c r="E56" s="23" t="s">
        <v>13</v>
      </c>
      <c r="F56" s="7" t="s">
        <v>13</v>
      </c>
      <c r="G56" s="23" t="s">
        <v>753</v>
      </c>
      <c r="H56" s="7">
        <v>2722</v>
      </c>
      <c r="I56" s="23" t="s">
        <v>753</v>
      </c>
      <c r="J56" s="23" t="s">
        <v>712</v>
      </c>
      <c r="K56" s="23" t="s">
        <v>792</v>
      </c>
      <c r="L56" s="7">
        <v>11636617</v>
      </c>
      <c r="M56" s="6" t="s">
        <v>714</v>
      </c>
      <c r="N56" s="23">
        <v>62.41</v>
      </c>
      <c r="O56" s="23" t="s">
        <v>582</v>
      </c>
      <c r="P56" s="23">
        <v>60</v>
      </c>
      <c r="Q56" s="23" t="s">
        <v>12</v>
      </c>
      <c r="R56" s="24" t="s">
        <v>693</v>
      </c>
    </row>
    <row r="57" spans="1:18" x14ac:dyDescent="0.3">
      <c r="A57" s="17">
        <v>56</v>
      </c>
      <c r="B57" s="23" t="s">
        <v>790</v>
      </c>
      <c r="C57" s="8" t="s">
        <v>794</v>
      </c>
      <c r="D57" s="23" t="s">
        <v>690</v>
      </c>
      <c r="E57" s="23" t="s">
        <v>13</v>
      </c>
      <c r="F57" s="7" t="s">
        <v>13</v>
      </c>
      <c r="G57" s="23" t="s">
        <v>753</v>
      </c>
      <c r="H57" s="7">
        <v>5263</v>
      </c>
      <c r="I57" s="23" t="s">
        <v>753</v>
      </c>
      <c r="J57" s="23" t="s">
        <v>712</v>
      </c>
      <c r="K57" s="23" t="s">
        <v>792</v>
      </c>
      <c r="L57" s="7">
        <v>19807034</v>
      </c>
      <c r="M57" s="6" t="s">
        <v>714</v>
      </c>
      <c r="N57" s="23">
        <v>83.940000000000012</v>
      </c>
      <c r="O57" s="23" t="s">
        <v>582</v>
      </c>
      <c r="P57" s="23">
        <v>75</v>
      </c>
      <c r="Q57" s="23" t="s">
        <v>12</v>
      </c>
      <c r="R57" s="24" t="s">
        <v>693</v>
      </c>
    </row>
    <row r="58" spans="1:18" x14ac:dyDescent="0.3">
      <c r="A58" s="17">
        <v>57</v>
      </c>
      <c r="B58" s="23" t="s">
        <v>790</v>
      </c>
      <c r="C58" s="8" t="s">
        <v>795</v>
      </c>
      <c r="D58" s="23" t="s">
        <v>690</v>
      </c>
      <c r="E58" s="23" t="s">
        <v>13</v>
      </c>
      <c r="F58" s="7" t="s">
        <v>13</v>
      </c>
      <c r="G58" s="23" t="s">
        <v>753</v>
      </c>
      <c r="H58" s="7">
        <v>632</v>
      </c>
      <c r="I58" s="23" t="s">
        <v>753</v>
      </c>
      <c r="J58" s="23" t="s">
        <v>712</v>
      </c>
      <c r="K58" s="23" t="s">
        <v>792</v>
      </c>
      <c r="L58" s="7">
        <v>2922372</v>
      </c>
      <c r="M58" s="6" t="s">
        <v>714</v>
      </c>
      <c r="N58" s="23">
        <v>46.059999999999995</v>
      </c>
      <c r="O58" s="23" t="s">
        <v>582</v>
      </c>
      <c r="P58" s="23">
        <v>30</v>
      </c>
      <c r="Q58" s="23" t="s">
        <v>12</v>
      </c>
      <c r="R58" s="24" t="s">
        <v>693</v>
      </c>
    </row>
    <row r="59" spans="1:18" x14ac:dyDescent="0.3">
      <c r="A59" s="17">
        <v>58</v>
      </c>
      <c r="B59" s="23" t="s">
        <v>790</v>
      </c>
      <c r="C59" s="8" t="s">
        <v>796</v>
      </c>
      <c r="D59" s="23" t="s">
        <v>690</v>
      </c>
      <c r="E59" s="23" t="s">
        <v>13</v>
      </c>
      <c r="F59" s="7" t="s">
        <v>13</v>
      </c>
      <c r="G59" s="23" t="s">
        <v>753</v>
      </c>
      <c r="H59" s="7">
        <v>318</v>
      </c>
      <c r="I59" s="23" t="s">
        <v>753</v>
      </c>
      <c r="J59" s="23" t="s">
        <v>712</v>
      </c>
      <c r="K59" s="23" t="s">
        <v>797</v>
      </c>
      <c r="L59" s="7">
        <v>1785708</v>
      </c>
      <c r="M59" s="6" t="s">
        <v>714</v>
      </c>
      <c r="N59" s="23">
        <v>42.66</v>
      </c>
      <c r="O59" s="23" t="s">
        <v>582</v>
      </c>
      <c r="P59" s="23">
        <v>15</v>
      </c>
      <c r="Q59" s="23" t="s">
        <v>12</v>
      </c>
      <c r="R59" s="24" t="s">
        <v>693</v>
      </c>
    </row>
    <row r="60" spans="1:18" x14ac:dyDescent="0.3">
      <c r="A60" s="17">
        <v>59</v>
      </c>
      <c r="B60" s="23" t="s">
        <v>790</v>
      </c>
      <c r="C60" s="8" t="s">
        <v>798</v>
      </c>
      <c r="D60" s="23" t="s">
        <v>690</v>
      </c>
      <c r="E60" s="23" t="s">
        <v>13</v>
      </c>
      <c r="F60" s="7" t="s">
        <v>13</v>
      </c>
      <c r="G60" s="23" t="s">
        <v>753</v>
      </c>
      <c r="H60" s="7">
        <v>508</v>
      </c>
      <c r="I60" s="23" t="s">
        <v>753</v>
      </c>
      <c r="J60" s="23" t="s">
        <v>712</v>
      </c>
      <c r="K60" s="23" t="s">
        <v>797</v>
      </c>
      <c r="L60" s="7">
        <v>2147538</v>
      </c>
      <c r="M60" s="6" t="s">
        <v>714</v>
      </c>
      <c r="N60" s="23">
        <v>104.94000000000001</v>
      </c>
      <c r="O60" s="23" t="s">
        <v>582</v>
      </c>
      <c r="P60" s="23">
        <v>85</v>
      </c>
      <c r="Q60" s="23" t="s">
        <v>12</v>
      </c>
      <c r="R60" s="24" t="s">
        <v>693</v>
      </c>
    </row>
    <row r="61" spans="1:18" x14ac:dyDescent="0.3">
      <c r="A61" s="17">
        <v>60</v>
      </c>
      <c r="B61" s="23" t="s">
        <v>790</v>
      </c>
      <c r="C61" s="8" t="s">
        <v>799</v>
      </c>
      <c r="D61" s="23" t="s">
        <v>690</v>
      </c>
      <c r="E61" s="23" t="s">
        <v>13</v>
      </c>
      <c r="F61" s="7" t="s">
        <v>13</v>
      </c>
      <c r="G61" s="23" t="s">
        <v>753</v>
      </c>
      <c r="H61" s="7">
        <v>181</v>
      </c>
      <c r="I61" s="23" t="s">
        <v>753</v>
      </c>
      <c r="J61" s="23" t="s">
        <v>712</v>
      </c>
      <c r="K61" s="23" t="s">
        <v>780</v>
      </c>
      <c r="L61" s="7">
        <v>836946</v>
      </c>
      <c r="M61" s="6" t="s">
        <v>714</v>
      </c>
      <c r="N61" s="23">
        <v>58.21</v>
      </c>
      <c r="O61" s="23" t="s">
        <v>582</v>
      </c>
      <c r="P61" s="23">
        <v>23</v>
      </c>
      <c r="Q61" s="23" t="s">
        <v>12</v>
      </c>
      <c r="R61" s="24" t="s">
        <v>693</v>
      </c>
    </row>
    <row r="62" spans="1:18" x14ac:dyDescent="0.3">
      <c r="A62" s="17">
        <v>61</v>
      </c>
      <c r="B62" s="23" t="s">
        <v>790</v>
      </c>
      <c r="C62" s="8" t="s">
        <v>800</v>
      </c>
      <c r="D62" s="23" t="s">
        <v>690</v>
      </c>
      <c r="E62" s="23" t="s">
        <v>13</v>
      </c>
      <c r="F62" s="7" t="s">
        <v>13</v>
      </c>
      <c r="G62" s="23" t="s">
        <v>753</v>
      </c>
      <c r="H62" s="7">
        <v>522</v>
      </c>
      <c r="I62" s="23" t="s">
        <v>753</v>
      </c>
      <c r="J62" s="23" t="s">
        <v>712</v>
      </c>
      <c r="K62" s="23" t="s">
        <v>780</v>
      </c>
      <c r="L62" s="7">
        <v>1896208</v>
      </c>
      <c r="M62" s="6" t="s">
        <v>714</v>
      </c>
      <c r="N62" s="23">
        <v>175.26</v>
      </c>
      <c r="O62" s="23" t="s">
        <v>582</v>
      </c>
      <c r="P62" s="23">
        <v>60</v>
      </c>
      <c r="Q62" s="23" t="s">
        <v>12</v>
      </c>
      <c r="R62" s="24" t="s">
        <v>693</v>
      </c>
    </row>
    <row r="63" spans="1:18" x14ac:dyDescent="0.3">
      <c r="A63" s="17">
        <v>62</v>
      </c>
      <c r="B63" s="23" t="s">
        <v>790</v>
      </c>
      <c r="C63" s="8" t="s">
        <v>801</v>
      </c>
      <c r="D63" s="23" t="s">
        <v>690</v>
      </c>
      <c r="E63" s="23" t="s">
        <v>13</v>
      </c>
      <c r="F63" s="7" t="s">
        <v>13</v>
      </c>
      <c r="G63" s="23" t="s">
        <v>753</v>
      </c>
      <c r="H63" s="7">
        <v>3656</v>
      </c>
      <c r="I63" s="23" t="s">
        <v>753</v>
      </c>
      <c r="J63" s="23" t="s">
        <v>712</v>
      </c>
      <c r="K63" s="23" t="s">
        <v>792</v>
      </c>
      <c r="L63" s="7">
        <v>14904560</v>
      </c>
      <c r="M63" s="6" t="s">
        <v>714</v>
      </c>
      <c r="N63" s="23">
        <v>122.39</v>
      </c>
      <c r="O63" s="23" t="s">
        <v>582</v>
      </c>
      <c r="P63" s="23">
        <v>130</v>
      </c>
      <c r="Q63" s="23" t="s">
        <v>12</v>
      </c>
      <c r="R63" s="24" t="s">
        <v>693</v>
      </c>
    </row>
    <row r="64" spans="1:18" x14ac:dyDescent="0.3">
      <c r="A64" s="17">
        <v>63</v>
      </c>
      <c r="B64" s="23" t="s">
        <v>802</v>
      </c>
      <c r="C64" s="8" t="s">
        <v>803</v>
      </c>
      <c r="D64" s="23" t="s">
        <v>690</v>
      </c>
      <c r="E64" s="23" t="s">
        <v>13</v>
      </c>
      <c r="F64" s="7" t="s">
        <v>13</v>
      </c>
      <c r="G64" s="23" t="s">
        <v>753</v>
      </c>
      <c r="H64" s="7" t="s">
        <v>13</v>
      </c>
      <c r="I64" s="23" t="s">
        <v>753</v>
      </c>
      <c r="J64" s="23" t="s">
        <v>712</v>
      </c>
      <c r="K64" s="23" t="s">
        <v>13</v>
      </c>
      <c r="L64" s="7" t="s">
        <v>13</v>
      </c>
      <c r="M64" s="6" t="s">
        <v>20</v>
      </c>
      <c r="N64" s="23">
        <v>32.33</v>
      </c>
      <c r="O64" s="23" t="s">
        <v>582</v>
      </c>
      <c r="P64" s="23">
        <v>24.28</v>
      </c>
      <c r="Q64" s="23" t="s">
        <v>12</v>
      </c>
      <c r="R64" s="24" t="s">
        <v>691</v>
      </c>
    </row>
    <row r="65" spans="1:18" x14ac:dyDescent="0.3">
      <c r="A65" s="17">
        <v>64</v>
      </c>
      <c r="B65" s="23" t="s">
        <v>802</v>
      </c>
      <c r="C65" s="8" t="s">
        <v>804</v>
      </c>
      <c r="D65" s="23" t="s">
        <v>690</v>
      </c>
      <c r="E65" s="23" t="s">
        <v>13</v>
      </c>
      <c r="F65" s="7" t="s">
        <v>13</v>
      </c>
      <c r="G65" s="23" t="s">
        <v>753</v>
      </c>
      <c r="H65" s="7" t="s">
        <v>13</v>
      </c>
      <c r="I65" s="23" t="s">
        <v>753</v>
      </c>
      <c r="J65" s="23" t="s">
        <v>712</v>
      </c>
      <c r="K65" s="23" t="s">
        <v>13</v>
      </c>
      <c r="L65" s="7" t="s">
        <v>13</v>
      </c>
      <c r="M65" s="6" t="s">
        <v>20</v>
      </c>
      <c r="N65" s="23">
        <v>47.129999999999995</v>
      </c>
      <c r="O65" s="23" t="s">
        <v>582</v>
      </c>
      <c r="P65" s="23">
        <v>31.380000000000003</v>
      </c>
      <c r="Q65" s="23" t="s">
        <v>12</v>
      </c>
      <c r="R65" s="24" t="s">
        <v>691</v>
      </c>
    </row>
    <row r="66" spans="1:18" x14ac:dyDescent="0.3">
      <c r="A66" s="17">
        <v>65</v>
      </c>
      <c r="B66" s="23" t="s">
        <v>805</v>
      </c>
      <c r="C66" s="8" t="s">
        <v>806</v>
      </c>
      <c r="D66" s="23" t="s">
        <v>690</v>
      </c>
      <c r="E66" s="23" t="s">
        <v>13</v>
      </c>
      <c r="F66" s="7">
        <v>1500</v>
      </c>
      <c r="G66" s="23" t="s">
        <v>753</v>
      </c>
      <c r="H66" s="7">
        <v>1000</v>
      </c>
      <c r="I66" s="23" t="s">
        <v>753</v>
      </c>
      <c r="J66" s="23" t="s">
        <v>712</v>
      </c>
      <c r="K66" s="23" t="s">
        <v>807</v>
      </c>
      <c r="L66" s="7">
        <v>3965670</v>
      </c>
      <c r="M66" s="6" t="s">
        <v>714</v>
      </c>
      <c r="N66" s="23">
        <v>40.85</v>
      </c>
      <c r="O66" s="23" t="s">
        <v>582</v>
      </c>
      <c r="P66" s="23">
        <v>50.96</v>
      </c>
      <c r="Q66" s="23" t="s">
        <v>12</v>
      </c>
      <c r="R66" s="24" t="s">
        <v>694</v>
      </c>
    </row>
    <row r="67" spans="1:18" x14ac:dyDescent="0.3">
      <c r="A67" s="17">
        <v>66</v>
      </c>
      <c r="B67" s="23" t="s">
        <v>805</v>
      </c>
      <c r="C67" s="8" t="s">
        <v>808</v>
      </c>
      <c r="D67" s="23" t="s">
        <v>690</v>
      </c>
      <c r="E67" s="23" t="s">
        <v>13</v>
      </c>
      <c r="F67" s="7">
        <v>2000</v>
      </c>
      <c r="G67" s="23" t="s">
        <v>753</v>
      </c>
      <c r="H67" s="7">
        <v>1500</v>
      </c>
      <c r="I67" s="23" t="s">
        <v>753</v>
      </c>
      <c r="J67" s="23" t="s">
        <v>712</v>
      </c>
      <c r="K67" s="23" t="s">
        <v>807</v>
      </c>
      <c r="L67" s="7">
        <v>5948505</v>
      </c>
      <c r="M67" s="6" t="s">
        <v>714</v>
      </c>
      <c r="N67" s="23">
        <v>50.519999999999996</v>
      </c>
      <c r="O67" s="23" t="s">
        <v>582</v>
      </c>
      <c r="P67" s="23">
        <v>67.06</v>
      </c>
      <c r="Q67" s="23" t="s">
        <v>12</v>
      </c>
      <c r="R67" s="24" t="s">
        <v>694</v>
      </c>
    </row>
    <row r="68" spans="1:18" x14ac:dyDescent="0.3">
      <c r="A68" s="17">
        <v>67</v>
      </c>
      <c r="B68" s="23" t="s">
        <v>805</v>
      </c>
      <c r="C68" s="8" t="s">
        <v>809</v>
      </c>
      <c r="D68" s="23" t="s">
        <v>690</v>
      </c>
      <c r="E68" s="23" t="s">
        <v>13</v>
      </c>
      <c r="F68" s="7">
        <v>3000</v>
      </c>
      <c r="G68" s="23" t="s">
        <v>753</v>
      </c>
      <c r="H68" s="7">
        <v>2100</v>
      </c>
      <c r="I68" s="23" t="s">
        <v>753</v>
      </c>
      <c r="J68" s="23" t="s">
        <v>712</v>
      </c>
      <c r="K68" s="23" t="s">
        <v>807</v>
      </c>
      <c r="L68" s="7">
        <v>8327907</v>
      </c>
      <c r="M68" s="6" t="s">
        <v>714</v>
      </c>
      <c r="N68" s="23">
        <v>79.92</v>
      </c>
      <c r="O68" s="23" t="s">
        <v>582</v>
      </c>
      <c r="P68" s="23">
        <v>93.88000000000001</v>
      </c>
      <c r="Q68" s="23" t="s">
        <v>12</v>
      </c>
      <c r="R68" s="24" t="s">
        <v>694</v>
      </c>
    </row>
    <row r="69" spans="1:18" x14ac:dyDescent="0.3">
      <c r="A69" s="17">
        <v>68</v>
      </c>
      <c r="B69" s="23" t="s">
        <v>805</v>
      </c>
      <c r="C69" s="8" t="s">
        <v>810</v>
      </c>
      <c r="D69" s="23" t="s">
        <v>690</v>
      </c>
      <c r="E69" s="23" t="s">
        <v>13</v>
      </c>
      <c r="F69" s="7">
        <v>4000</v>
      </c>
      <c r="G69" s="23" t="s">
        <v>753</v>
      </c>
      <c r="H69" s="7">
        <v>2800</v>
      </c>
      <c r="I69" s="23" t="s">
        <v>753</v>
      </c>
      <c r="J69" s="23" t="s">
        <v>712</v>
      </c>
      <c r="K69" s="23" t="s">
        <v>807</v>
      </c>
      <c r="L69" s="7">
        <v>11103876</v>
      </c>
      <c r="M69" s="6" t="s">
        <v>714</v>
      </c>
      <c r="N69" s="23">
        <v>90.34</v>
      </c>
      <c r="O69" s="23" t="s">
        <v>582</v>
      </c>
      <c r="P69" s="23">
        <v>134.10999999999999</v>
      </c>
      <c r="Q69" s="23" t="s">
        <v>12</v>
      </c>
      <c r="R69" s="24" t="s">
        <v>694</v>
      </c>
    </row>
    <row r="70" spans="1:18" x14ac:dyDescent="0.3">
      <c r="A70" s="17">
        <v>69</v>
      </c>
      <c r="B70" s="23" t="s">
        <v>805</v>
      </c>
      <c r="C70" s="8" t="s">
        <v>811</v>
      </c>
      <c r="D70" s="23" t="s">
        <v>690</v>
      </c>
      <c r="E70" s="23" t="s">
        <v>13</v>
      </c>
      <c r="F70" s="7">
        <v>5000</v>
      </c>
      <c r="G70" s="23" t="s">
        <v>753</v>
      </c>
      <c r="H70" s="7">
        <v>3500</v>
      </c>
      <c r="I70" s="23" t="s">
        <v>753</v>
      </c>
      <c r="J70" s="23" t="s">
        <v>712</v>
      </c>
      <c r="K70" s="23" t="s">
        <v>807</v>
      </c>
      <c r="L70" s="7">
        <v>12690144</v>
      </c>
      <c r="M70" s="6" t="s">
        <v>714</v>
      </c>
      <c r="N70" s="23">
        <v>104.24000000000001</v>
      </c>
      <c r="O70" s="23" t="s">
        <v>582</v>
      </c>
      <c r="P70" s="23">
        <v>187.75</v>
      </c>
      <c r="Q70" s="23" t="s">
        <v>12</v>
      </c>
      <c r="R70" s="24" t="s">
        <v>694</v>
      </c>
    </row>
    <row r="71" spans="1:18" x14ac:dyDescent="0.3">
      <c r="A71" s="17">
        <v>70</v>
      </c>
      <c r="B71" s="23" t="s">
        <v>805</v>
      </c>
      <c r="C71" s="8" t="s">
        <v>812</v>
      </c>
      <c r="D71" s="23" t="s">
        <v>690</v>
      </c>
      <c r="E71" s="23" t="s">
        <v>13</v>
      </c>
      <c r="F71" s="7">
        <v>6000</v>
      </c>
      <c r="G71" s="23" t="s">
        <v>753</v>
      </c>
      <c r="H71" s="7">
        <v>4000</v>
      </c>
      <c r="I71" s="23" t="s">
        <v>753</v>
      </c>
      <c r="J71" s="23" t="s">
        <v>712</v>
      </c>
      <c r="K71" s="23" t="s">
        <v>807</v>
      </c>
      <c r="L71" s="7">
        <v>15862680</v>
      </c>
      <c r="M71" s="6" t="s">
        <v>714</v>
      </c>
      <c r="N71" s="23">
        <v>114.67</v>
      </c>
      <c r="O71" s="23" t="s">
        <v>582</v>
      </c>
      <c r="P71" s="23">
        <v>227.98</v>
      </c>
      <c r="Q71" s="23" t="s">
        <v>12</v>
      </c>
      <c r="R71" s="24" t="s">
        <v>694</v>
      </c>
    </row>
    <row r="72" spans="1:18" x14ac:dyDescent="0.3">
      <c r="A72" s="17">
        <v>71</v>
      </c>
      <c r="B72" s="23" t="s">
        <v>813</v>
      </c>
      <c r="C72" s="8" t="s">
        <v>814</v>
      </c>
      <c r="D72" s="23" t="s">
        <v>690</v>
      </c>
      <c r="E72" s="23" t="s">
        <v>13</v>
      </c>
      <c r="F72" s="7">
        <v>3000</v>
      </c>
      <c r="G72" s="23" t="s">
        <v>753</v>
      </c>
      <c r="H72" s="7" t="s">
        <v>13</v>
      </c>
      <c r="I72" s="23" t="s">
        <v>753</v>
      </c>
      <c r="J72" s="23" t="s">
        <v>712</v>
      </c>
      <c r="K72" s="23" t="s">
        <v>807</v>
      </c>
      <c r="L72" s="7">
        <v>476218</v>
      </c>
      <c r="M72" s="6" t="s">
        <v>714</v>
      </c>
      <c r="N72" s="23">
        <v>2.84</v>
      </c>
      <c r="O72" s="23" t="s">
        <v>582</v>
      </c>
      <c r="P72" s="23">
        <v>17.71</v>
      </c>
      <c r="Q72" s="23" t="s">
        <v>12</v>
      </c>
      <c r="R72" s="24" t="s">
        <v>692</v>
      </c>
    </row>
    <row r="73" spans="1:18" x14ac:dyDescent="0.3">
      <c r="A73" s="17">
        <v>72</v>
      </c>
      <c r="B73" s="23" t="s">
        <v>813</v>
      </c>
      <c r="C73" s="8" t="s">
        <v>815</v>
      </c>
      <c r="D73" s="23" t="s">
        <v>690</v>
      </c>
      <c r="E73" s="23" t="s">
        <v>13</v>
      </c>
      <c r="F73" s="7">
        <v>5000</v>
      </c>
      <c r="G73" s="23" t="s">
        <v>753</v>
      </c>
      <c r="H73" s="7" t="s">
        <v>13</v>
      </c>
      <c r="I73" s="23" t="s">
        <v>753</v>
      </c>
      <c r="J73" s="23" t="s">
        <v>712</v>
      </c>
      <c r="K73" s="23" t="s">
        <v>807</v>
      </c>
      <c r="L73" s="7">
        <v>612280</v>
      </c>
      <c r="M73" s="6" t="s">
        <v>714</v>
      </c>
      <c r="N73" s="23">
        <v>5.0699999999999994</v>
      </c>
      <c r="O73" s="23" t="s">
        <v>582</v>
      </c>
      <c r="P73" s="23">
        <v>24.41</v>
      </c>
      <c r="Q73" s="23" t="s">
        <v>12</v>
      </c>
      <c r="R73" s="24" t="s">
        <v>692</v>
      </c>
    </row>
    <row r="74" spans="1:18" x14ac:dyDescent="0.3">
      <c r="A74" s="17">
        <v>73</v>
      </c>
      <c r="B74" s="23" t="s">
        <v>813</v>
      </c>
      <c r="C74" s="8" t="s">
        <v>816</v>
      </c>
      <c r="D74" s="23" t="s">
        <v>690</v>
      </c>
      <c r="E74" s="23" t="s">
        <v>13</v>
      </c>
      <c r="F74" s="7">
        <v>10000</v>
      </c>
      <c r="G74" s="23" t="s">
        <v>753</v>
      </c>
      <c r="H74" s="7" t="s">
        <v>13</v>
      </c>
      <c r="I74" s="23" t="s">
        <v>753</v>
      </c>
      <c r="J74" s="23" t="s">
        <v>712</v>
      </c>
      <c r="K74" s="23" t="s">
        <v>807</v>
      </c>
      <c r="L74" s="7">
        <v>775554</v>
      </c>
      <c r="M74" s="6" t="s">
        <v>714</v>
      </c>
      <c r="N74" s="23">
        <v>9.32</v>
      </c>
      <c r="O74" s="23" t="s">
        <v>582</v>
      </c>
      <c r="P74" s="23">
        <v>33.4</v>
      </c>
      <c r="Q74" s="23" t="s">
        <v>12</v>
      </c>
      <c r="R74" s="24" t="s">
        <v>692</v>
      </c>
    </row>
    <row r="75" spans="1:18" x14ac:dyDescent="0.3">
      <c r="A75" s="17">
        <v>74</v>
      </c>
      <c r="B75" s="23" t="s">
        <v>813</v>
      </c>
      <c r="C75" s="8" t="s">
        <v>817</v>
      </c>
      <c r="D75" s="23" t="s">
        <v>690</v>
      </c>
      <c r="E75" s="23" t="s">
        <v>13</v>
      </c>
      <c r="F75" s="7">
        <v>25000</v>
      </c>
      <c r="G75" s="23" t="s">
        <v>753</v>
      </c>
      <c r="H75" s="7" t="s">
        <v>13</v>
      </c>
      <c r="I75" s="23" t="s">
        <v>753</v>
      </c>
      <c r="J75" s="23" t="s">
        <v>712</v>
      </c>
      <c r="K75" s="23" t="s">
        <v>807</v>
      </c>
      <c r="L75" s="7">
        <v>1632738</v>
      </c>
      <c r="M75" s="6" t="s">
        <v>714</v>
      </c>
      <c r="N75" s="23">
        <v>19.73</v>
      </c>
      <c r="O75" s="23" t="s">
        <v>582</v>
      </c>
      <c r="P75" s="23">
        <v>62.9</v>
      </c>
      <c r="Q75" s="23" t="s">
        <v>12</v>
      </c>
      <c r="R75" s="24" t="s">
        <v>692</v>
      </c>
    </row>
    <row r="76" spans="1:18" x14ac:dyDescent="0.3">
      <c r="A76" s="17">
        <v>75</v>
      </c>
      <c r="B76" s="23" t="s">
        <v>818</v>
      </c>
      <c r="C76" s="8" t="s">
        <v>819</v>
      </c>
      <c r="D76" s="23" t="s">
        <v>698</v>
      </c>
      <c r="E76" s="23" t="s">
        <v>820</v>
      </c>
      <c r="F76" s="7" t="s">
        <v>13</v>
      </c>
      <c r="G76" s="23" t="s">
        <v>583</v>
      </c>
      <c r="H76" s="7" t="s">
        <v>13</v>
      </c>
      <c r="I76" s="23" t="s">
        <v>753</v>
      </c>
      <c r="J76" s="23" t="s">
        <v>717</v>
      </c>
      <c r="K76" s="23" t="s">
        <v>821</v>
      </c>
      <c r="L76" s="7">
        <v>3</v>
      </c>
      <c r="M76" s="6" t="s">
        <v>673</v>
      </c>
      <c r="N76" s="23">
        <v>3.96</v>
      </c>
      <c r="O76" s="23" t="s">
        <v>582</v>
      </c>
      <c r="P76" s="23">
        <v>0.5</v>
      </c>
      <c r="Q76" s="23" t="s">
        <v>12</v>
      </c>
      <c r="R76" s="24" t="s">
        <v>704</v>
      </c>
    </row>
    <row r="77" spans="1:18" x14ac:dyDescent="0.3">
      <c r="A77" s="17">
        <v>76</v>
      </c>
      <c r="B77" s="23" t="s">
        <v>818</v>
      </c>
      <c r="C77" s="8" t="s">
        <v>822</v>
      </c>
      <c r="D77" s="23" t="s">
        <v>698</v>
      </c>
      <c r="E77" s="23" t="s">
        <v>820</v>
      </c>
      <c r="F77" s="7" t="s">
        <v>13</v>
      </c>
      <c r="G77" s="23" t="s">
        <v>583</v>
      </c>
      <c r="H77" s="7" t="s">
        <v>13</v>
      </c>
      <c r="I77" s="23" t="s">
        <v>753</v>
      </c>
      <c r="J77" s="23" t="s">
        <v>717</v>
      </c>
      <c r="K77" s="23" t="s">
        <v>821</v>
      </c>
      <c r="L77" s="7">
        <v>6</v>
      </c>
      <c r="M77" s="6" t="s">
        <v>673</v>
      </c>
      <c r="N77" s="23">
        <v>7.92</v>
      </c>
      <c r="O77" s="23" t="s">
        <v>582</v>
      </c>
      <c r="P77" s="23">
        <v>0.5</v>
      </c>
      <c r="Q77" s="23" t="s">
        <v>12</v>
      </c>
      <c r="R77" s="24" t="s">
        <v>704</v>
      </c>
    </row>
    <row r="78" spans="1:18" x14ac:dyDescent="0.3">
      <c r="A78" s="17">
        <v>77</v>
      </c>
      <c r="B78" s="23" t="s">
        <v>818</v>
      </c>
      <c r="C78" s="8" t="s">
        <v>823</v>
      </c>
      <c r="D78" s="23" t="s">
        <v>698</v>
      </c>
      <c r="E78" s="23" t="s">
        <v>820</v>
      </c>
      <c r="F78" s="7" t="s">
        <v>13</v>
      </c>
      <c r="G78" s="23" t="s">
        <v>583</v>
      </c>
      <c r="H78" s="7" t="s">
        <v>13</v>
      </c>
      <c r="I78" s="23" t="s">
        <v>753</v>
      </c>
      <c r="J78" s="23" t="s">
        <v>717</v>
      </c>
      <c r="K78" s="23" t="s">
        <v>821</v>
      </c>
      <c r="L78" s="7">
        <v>9</v>
      </c>
      <c r="M78" s="6" t="s">
        <v>673</v>
      </c>
      <c r="N78" s="23">
        <v>15.83</v>
      </c>
      <c r="O78" s="23" t="s">
        <v>582</v>
      </c>
      <c r="P78" s="23">
        <v>1</v>
      </c>
      <c r="Q78" s="23" t="s">
        <v>12</v>
      </c>
      <c r="R78" s="24" t="s">
        <v>704</v>
      </c>
    </row>
    <row r="79" spans="1:18" x14ac:dyDescent="0.3">
      <c r="A79" s="17">
        <v>78</v>
      </c>
      <c r="B79" s="23" t="s">
        <v>818</v>
      </c>
      <c r="C79" s="8" t="s">
        <v>824</v>
      </c>
      <c r="D79" s="23" t="s">
        <v>698</v>
      </c>
      <c r="E79" s="23" t="s">
        <v>820</v>
      </c>
      <c r="F79" s="7" t="s">
        <v>13</v>
      </c>
      <c r="G79" s="23" t="s">
        <v>583</v>
      </c>
      <c r="H79" s="7" t="s">
        <v>13</v>
      </c>
      <c r="I79" s="23" t="s">
        <v>753</v>
      </c>
      <c r="J79" s="23" t="s">
        <v>717</v>
      </c>
      <c r="K79" s="23" t="s">
        <v>821</v>
      </c>
      <c r="L79" s="7">
        <v>15</v>
      </c>
      <c r="M79" s="6" t="s">
        <v>673</v>
      </c>
      <c r="N79" s="23">
        <v>31.650000000000002</v>
      </c>
      <c r="O79" s="23" t="s">
        <v>582</v>
      </c>
      <c r="P79" s="23">
        <v>2</v>
      </c>
      <c r="Q79" s="23" t="s">
        <v>12</v>
      </c>
      <c r="R79" s="24" t="s">
        <v>704</v>
      </c>
    </row>
    <row r="80" spans="1:18" x14ac:dyDescent="0.3">
      <c r="A80" s="17">
        <v>79</v>
      </c>
      <c r="B80" s="23" t="s">
        <v>818</v>
      </c>
      <c r="C80" s="8" t="s">
        <v>825</v>
      </c>
      <c r="D80" s="23" t="s">
        <v>698</v>
      </c>
      <c r="E80" s="23" t="s">
        <v>820</v>
      </c>
      <c r="F80" s="7" t="s">
        <v>13</v>
      </c>
      <c r="G80" s="23" t="s">
        <v>583</v>
      </c>
      <c r="H80" s="7" t="s">
        <v>13</v>
      </c>
      <c r="I80" s="23" t="s">
        <v>753</v>
      </c>
      <c r="J80" s="23" t="s">
        <v>717</v>
      </c>
      <c r="K80" s="23" t="s">
        <v>821</v>
      </c>
      <c r="L80" s="7">
        <v>36</v>
      </c>
      <c r="M80" s="6" t="s">
        <v>673</v>
      </c>
      <c r="N80" s="23">
        <v>63.3</v>
      </c>
      <c r="O80" s="23" t="s">
        <v>582</v>
      </c>
      <c r="P80" s="23">
        <v>4</v>
      </c>
      <c r="Q80" s="23" t="s">
        <v>12</v>
      </c>
      <c r="R80" s="24" t="s">
        <v>704</v>
      </c>
    </row>
    <row r="81" spans="1:18" x14ac:dyDescent="0.3">
      <c r="A81" s="17">
        <v>80</v>
      </c>
      <c r="B81" s="23" t="s">
        <v>826</v>
      </c>
      <c r="C81" s="8" t="s">
        <v>827</v>
      </c>
      <c r="D81" s="23" t="s">
        <v>680</v>
      </c>
      <c r="E81" s="23" t="s">
        <v>13</v>
      </c>
      <c r="F81" s="7" t="s">
        <v>13</v>
      </c>
      <c r="G81" s="23" t="s">
        <v>753</v>
      </c>
      <c r="H81" s="7">
        <v>110</v>
      </c>
      <c r="I81" s="23" t="s">
        <v>753</v>
      </c>
      <c r="J81" s="23" t="s">
        <v>712</v>
      </c>
      <c r="K81" s="23" t="s">
        <v>776</v>
      </c>
      <c r="L81" s="7" t="s">
        <v>13</v>
      </c>
      <c r="M81" s="6" t="s">
        <v>20</v>
      </c>
      <c r="N81" s="23">
        <v>9.6</v>
      </c>
      <c r="O81" s="23" t="s">
        <v>582</v>
      </c>
      <c r="P81" s="23">
        <v>15.29</v>
      </c>
      <c r="Q81" s="23" t="s">
        <v>12</v>
      </c>
      <c r="R81" s="24" t="s">
        <v>683</v>
      </c>
    </row>
    <row r="82" spans="1:18" x14ac:dyDescent="0.3">
      <c r="A82" s="17">
        <v>81</v>
      </c>
      <c r="B82" s="23" t="s">
        <v>826</v>
      </c>
      <c r="C82" s="8" t="s">
        <v>828</v>
      </c>
      <c r="D82" s="23" t="s">
        <v>680</v>
      </c>
      <c r="E82" s="23" t="s">
        <v>13</v>
      </c>
      <c r="F82" s="7" t="s">
        <v>13</v>
      </c>
      <c r="G82" s="23" t="s">
        <v>753</v>
      </c>
      <c r="H82" s="7">
        <v>150</v>
      </c>
      <c r="I82" s="23" t="s">
        <v>753</v>
      </c>
      <c r="J82" s="23" t="s">
        <v>712</v>
      </c>
      <c r="K82" s="23" t="s">
        <v>776</v>
      </c>
      <c r="L82" s="7" t="s">
        <v>13</v>
      </c>
      <c r="M82" s="6" t="s">
        <v>20</v>
      </c>
      <c r="N82" s="23">
        <v>12</v>
      </c>
      <c r="O82" s="23" t="s">
        <v>582</v>
      </c>
      <c r="P82" s="23">
        <v>18.240000000000002</v>
      </c>
      <c r="Q82" s="23" t="s">
        <v>12</v>
      </c>
      <c r="R82" s="24" t="s">
        <v>683</v>
      </c>
    </row>
    <row r="83" spans="1:18" x14ac:dyDescent="0.3">
      <c r="A83" s="17">
        <v>82</v>
      </c>
      <c r="B83" s="23" t="s">
        <v>826</v>
      </c>
      <c r="C83" s="8" t="s">
        <v>829</v>
      </c>
      <c r="D83" s="23" t="s">
        <v>680</v>
      </c>
      <c r="E83" s="23" t="s">
        <v>13</v>
      </c>
      <c r="F83" s="7" t="s">
        <v>13</v>
      </c>
      <c r="G83" s="23" t="s">
        <v>753</v>
      </c>
      <c r="H83" s="7">
        <v>147.5</v>
      </c>
      <c r="I83" s="23" t="s">
        <v>753</v>
      </c>
      <c r="J83" s="23" t="s">
        <v>712</v>
      </c>
      <c r="K83" s="23" t="s">
        <v>776</v>
      </c>
      <c r="L83" s="7" t="s">
        <v>13</v>
      </c>
      <c r="M83" s="6" t="s">
        <v>20</v>
      </c>
      <c r="N83" s="23">
        <v>12.8</v>
      </c>
      <c r="O83" s="23" t="s">
        <v>582</v>
      </c>
      <c r="P83" s="23">
        <v>15.29</v>
      </c>
      <c r="Q83" s="23" t="s">
        <v>12</v>
      </c>
      <c r="R83" s="24" t="s">
        <v>683</v>
      </c>
    </row>
    <row r="84" spans="1:18" x14ac:dyDescent="0.3">
      <c r="A84" s="17">
        <v>83</v>
      </c>
      <c r="B84" s="23" t="s">
        <v>826</v>
      </c>
      <c r="C84" s="8" t="s">
        <v>830</v>
      </c>
      <c r="D84" s="23" t="s">
        <v>680</v>
      </c>
      <c r="E84" s="23" t="s">
        <v>13</v>
      </c>
      <c r="F84" s="7" t="s">
        <v>13</v>
      </c>
      <c r="G84" s="23" t="s">
        <v>753</v>
      </c>
      <c r="H84" s="7">
        <v>172.5</v>
      </c>
      <c r="I84" s="23" t="s">
        <v>753</v>
      </c>
      <c r="J84" s="23" t="s">
        <v>712</v>
      </c>
      <c r="K84" s="23" t="s">
        <v>776</v>
      </c>
      <c r="L84" s="7" t="s">
        <v>13</v>
      </c>
      <c r="M84" s="6" t="s">
        <v>20</v>
      </c>
      <c r="N84" s="23">
        <v>16</v>
      </c>
      <c r="O84" s="23" t="s">
        <v>582</v>
      </c>
      <c r="P84" s="23">
        <v>18.240000000000002</v>
      </c>
      <c r="Q84" s="23" t="s">
        <v>12</v>
      </c>
      <c r="R84" s="24" t="s">
        <v>683</v>
      </c>
    </row>
    <row r="85" spans="1:18" x14ac:dyDescent="0.3">
      <c r="A85" s="17">
        <v>84</v>
      </c>
      <c r="B85" s="23" t="s">
        <v>826</v>
      </c>
      <c r="C85" s="8" t="s">
        <v>831</v>
      </c>
      <c r="D85" s="23" t="s">
        <v>680</v>
      </c>
      <c r="E85" s="23" t="s">
        <v>13</v>
      </c>
      <c r="F85" s="7" t="s">
        <v>13</v>
      </c>
      <c r="G85" s="23" t="s">
        <v>753</v>
      </c>
      <c r="H85" s="7">
        <v>180</v>
      </c>
      <c r="I85" s="23" t="s">
        <v>753</v>
      </c>
      <c r="J85" s="23" t="s">
        <v>712</v>
      </c>
      <c r="K85" s="23" t="s">
        <v>776</v>
      </c>
      <c r="L85" s="7" t="s">
        <v>13</v>
      </c>
      <c r="M85" s="6" t="s">
        <v>20</v>
      </c>
      <c r="N85" s="23">
        <v>16</v>
      </c>
      <c r="O85" s="23" t="s">
        <v>582</v>
      </c>
      <c r="P85" s="23">
        <v>19.720000000000002</v>
      </c>
      <c r="Q85" s="23" t="s">
        <v>12</v>
      </c>
      <c r="R85" s="24" t="s">
        <v>683</v>
      </c>
    </row>
    <row r="86" spans="1:18" x14ac:dyDescent="0.3">
      <c r="A86" s="17">
        <v>85</v>
      </c>
      <c r="B86" s="23" t="s">
        <v>826</v>
      </c>
      <c r="C86" s="8" t="s">
        <v>832</v>
      </c>
      <c r="D86" s="23" t="s">
        <v>680</v>
      </c>
      <c r="E86" s="23" t="s">
        <v>13</v>
      </c>
      <c r="F86" s="7" t="s">
        <v>13</v>
      </c>
      <c r="G86" s="23" t="s">
        <v>753</v>
      </c>
      <c r="H86" s="7">
        <v>210</v>
      </c>
      <c r="I86" s="23" t="s">
        <v>753</v>
      </c>
      <c r="J86" s="23" t="s">
        <v>712</v>
      </c>
      <c r="K86" s="23" t="s">
        <v>776</v>
      </c>
      <c r="L86" s="7" t="s">
        <v>13</v>
      </c>
      <c r="M86" s="6" t="s">
        <v>20</v>
      </c>
      <c r="N86" s="23">
        <v>20</v>
      </c>
      <c r="O86" s="23" t="s">
        <v>582</v>
      </c>
      <c r="P86" s="23">
        <v>21.19</v>
      </c>
      <c r="Q86" s="23" t="s">
        <v>12</v>
      </c>
      <c r="R86" s="24" t="s">
        <v>683</v>
      </c>
    </row>
    <row r="87" spans="1:18" x14ac:dyDescent="0.3">
      <c r="A87" s="17">
        <v>86</v>
      </c>
      <c r="B87" s="23" t="s">
        <v>826</v>
      </c>
      <c r="C87" s="8" t="s">
        <v>833</v>
      </c>
      <c r="D87" s="23" t="s">
        <v>680</v>
      </c>
      <c r="E87" s="23" t="s">
        <v>13</v>
      </c>
      <c r="F87" s="7" t="s">
        <v>13</v>
      </c>
      <c r="G87" s="23" t="s">
        <v>753</v>
      </c>
      <c r="H87" s="7">
        <v>420</v>
      </c>
      <c r="I87" s="23" t="s">
        <v>753</v>
      </c>
      <c r="J87" s="23" t="s">
        <v>712</v>
      </c>
      <c r="K87" s="23" t="s">
        <v>776</v>
      </c>
      <c r="L87" s="7" t="s">
        <v>13</v>
      </c>
      <c r="M87" s="6" t="s">
        <v>20</v>
      </c>
      <c r="N87" s="23">
        <v>40</v>
      </c>
      <c r="O87" s="23" t="s">
        <v>582</v>
      </c>
      <c r="P87" s="23">
        <v>49.35</v>
      </c>
      <c r="Q87" s="23" t="s">
        <v>12</v>
      </c>
      <c r="R87" s="24" t="s">
        <v>683</v>
      </c>
    </row>
    <row r="88" spans="1:18" x14ac:dyDescent="0.3">
      <c r="A88" s="17">
        <v>87</v>
      </c>
      <c r="B88" s="23" t="s">
        <v>834</v>
      </c>
      <c r="C88" s="8" t="s">
        <v>835</v>
      </c>
      <c r="D88" s="23" t="s">
        <v>680</v>
      </c>
      <c r="E88" s="23" t="s">
        <v>52</v>
      </c>
      <c r="F88" s="7" t="s">
        <v>13</v>
      </c>
      <c r="G88" s="23" t="s">
        <v>753</v>
      </c>
      <c r="H88" s="7">
        <v>400</v>
      </c>
      <c r="I88" s="23" t="s">
        <v>753</v>
      </c>
      <c r="J88" s="23" t="s">
        <v>712</v>
      </c>
      <c r="K88" s="23" t="s">
        <v>780</v>
      </c>
      <c r="L88" s="7" t="s">
        <v>13</v>
      </c>
      <c r="M88" s="6" t="s">
        <v>20</v>
      </c>
      <c r="N88" s="23">
        <v>16</v>
      </c>
      <c r="O88" s="23" t="s">
        <v>582</v>
      </c>
      <c r="P88" s="23">
        <v>45.26</v>
      </c>
      <c r="Q88" s="23" t="s">
        <v>12</v>
      </c>
      <c r="R88" s="24" t="s">
        <v>684</v>
      </c>
    </row>
    <row r="89" spans="1:18" x14ac:dyDescent="0.3">
      <c r="A89" s="17">
        <v>88</v>
      </c>
      <c r="B89" s="23" t="s">
        <v>834</v>
      </c>
      <c r="C89" s="8" t="s">
        <v>836</v>
      </c>
      <c r="D89" s="23" t="s">
        <v>680</v>
      </c>
      <c r="E89" s="23" t="s">
        <v>52</v>
      </c>
      <c r="F89" s="7" t="s">
        <v>13</v>
      </c>
      <c r="G89" s="23" t="s">
        <v>753</v>
      </c>
      <c r="H89" s="7">
        <v>600</v>
      </c>
      <c r="I89" s="23" t="s">
        <v>753</v>
      </c>
      <c r="J89" s="23" t="s">
        <v>712</v>
      </c>
      <c r="K89" s="23" t="s">
        <v>780</v>
      </c>
      <c r="L89" s="7" t="s">
        <v>13</v>
      </c>
      <c r="M89" s="6" t="s">
        <v>20</v>
      </c>
      <c r="N89" s="23">
        <v>24</v>
      </c>
      <c r="O89" s="23" t="s">
        <v>582</v>
      </c>
      <c r="P89" s="23">
        <v>65.38000000000001</v>
      </c>
      <c r="Q89" s="23" t="s">
        <v>12</v>
      </c>
      <c r="R89" s="24" t="s">
        <v>684</v>
      </c>
    </row>
    <row r="90" spans="1:18" x14ac:dyDescent="0.3">
      <c r="A90" s="17">
        <v>89</v>
      </c>
      <c r="B90" s="23" t="s">
        <v>834</v>
      </c>
      <c r="C90" s="8" t="s">
        <v>837</v>
      </c>
      <c r="D90" s="23" t="s">
        <v>680</v>
      </c>
      <c r="E90" s="23" t="s">
        <v>52</v>
      </c>
      <c r="F90" s="7" t="s">
        <v>13</v>
      </c>
      <c r="G90" s="23" t="s">
        <v>753</v>
      </c>
      <c r="H90" s="7">
        <v>800</v>
      </c>
      <c r="I90" s="23" t="s">
        <v>753</v>
      </c>
      <c r="J90" s="23" t="s">
        <v>712</v>
      </c>
      <c r="K90" s="23" t="s">
        <v>780</v>
      </c>
      <c r="L90" s="7" t="s">
        <v>13</v>
      </c>
      <c r="M90" s="6" t="s">
        <v>20</v>
      </c>
      <c r="N90" s="23">
        <v>32</v>
      </c>
      <c r="O90" s="23" t="s">
        <v>582</v>
      </c>
      <c r="P90" s="23">
        <v>85.5</v>
      </c>
      <c r="Q90" s="23" t="s">
        <v>12</v>
      </c>
      <c r="R90" s="24" t="s">
        <v>684</v>
      </c>
    </row>
    <row r="91" spans="1:18" x14ac:dyDescent="0.3">
      <c r="A91" s="17">
        <v>90</v>
      </c>
      <c r="B91" s="23" t="s">
        <v>834</v>
      </c>
      <c r="C91" s="8" t="s">
        <v>838</v>
      </c>
      <c r="D91" s="23" t="s">
        <v>680</v>
      </c>
      <c r="E91" s="23" t="s">
        <v>52</v>
      </c>
      <c r="F91" s="7" t="s">
        <v>13</v>
      </c>
      <c r="G91" s="23" t="s">
        <v>753</v>
      </c>
      <c r="H91" s="7">
        <v>500</v>
      </c>
      <c r="I91" s="23" t="s">
        <v>753</v>
      </c>
      <c r="J91" s="23" t="s">
        <v>712</v>
      </c>
      <c r="K91" s="23" t="s">
        <v>780</v>
      </c>
      <c r="L91" s="7" t="s">
        <v>13</v>
      </c>
      <c r="M91" s="6" t="s">
        <v>20</v>
      </c>
      <c r="N91" s="23">
        <v>60</v>
      </c>
      <c r="O91" s="23" t="s">
        <v>582</v>
      </c>
      <c r="P91" s="23">
        <v>66.050000000000011</v>
      </c>
      <c r="Q91" s="23" t="s">
        <v>12</v>
      </c>
      <c r="R91" s="24" t="s">
        <v>684</v>
      </c>
    </row>
    <row r="92" spans="1:18" x14ac:dyDescent="0.3">
      <c r="A92" s="17">
        <v>91</v>
      </c>
      <c r="B92" s="23" t="s">
        <v>834</v>
      </c>
      <c r="C92" s="8" t="s">
        <v>839</v>
      </c>
      <c r="D92" s="23" t="s">
        <v>680</v>
      </c>
      <c r="E92" s="23" t="s">
        <v>52</v>
      </c>
      <c r="F92" s="7" t="s">
        <v>13</v>
      </c>
      <c r="G92" s="23" t="s">
        <v>753</v>
      </c>
      <c r="H92" s="7">
        <v>750</v>
      </c>
      <c r="I92" s="23" t="s">
        <v>753</v>
      </c>
      <c r="J92" s="23" t="s">
        <v>712</v>
      </c>
      <c r="K92" s="23" t="s">
        <v>780</v>
      </c>
      <c r="L92" s="7" t="s">
        <v>13</v>
      </c>
      <c r="M92" s="6" t="s">
        <v>20</v>
      </c>
      <c r="N92" s="23">
        <v>100</v>
      </c>
      <c r="O92" s="23" t="s">
        <v>582</v>
      </c>
      <c r="P92" s="23">
        <v>93.54</v>
      </c>
      <c r="Q92" s="23" t="s">
        <v>12</v>
      </c>
      <c r="R92" s="24" t="s">
        <v>684</v>
      </c>
    </row>
    <row r="93" spans="1:18" x14ac:dyDescent="0.3">
      <c r="A93" s="17">
        <v>92</v>
      </c>
      <c r="B93" s="23" t="s">
        <v>840</v>
      </c>
      <c r="C93" s="8" t="s">
        <v>841</v>
      </c>
      <c r="D93" s="23" t="s">
        <v>680</v>
      </c>
      <c r="E93" s="23" t="s">
        <v>61</v>
      </c>
      <c r="F93" s="7" t="s">
        <v>13</v>
      </c>
      <c r="G93" s="23" t="s">
        <v>753</v>
      </c>
      <c r="H93" s="7" t="s">
        <v>13</v>
      </c>
      <c r="I93" s="23" t="s">
        <v>753</v>
      </c>
      <c r="J93" s="23" t="s">
        <v>712</v>
      </c>
      <c r="K93" s="23" t="s">
        <v>842</v>
      </c>
      <c r="L93" s="7" t="s">
        <v>13</v>
      </c>
      <c r="M93" s="6" t="s">
        <v>20</v>
      </c>
      <c r="N93" s="23">
        <v>28.799999999999997</v>
      </c>
      <c r="O93" s="23" t="s">
        <v>582</v>
      </c>
      <c r="P93" s="23">
        <v>29.110000000000003</v>
      </c>
      <c r="Q93" s="23" t="s">
        <v>12</v>
      </c>
      <c r="R93" s="24" t="s">
        <v>685</v>
      </c>
    </row>
    <row r="94" spans="1:18" x14ac:dyDescent="0.3">
      <c r="A94" s="17">
        <v>93</v>
      </c>
      <c r="B94" s="23" t="s">
        <v>840</v>
      </c>
      <c r="C94" s="8" t="s">
        <v>843</v>
      </c>
      <c r="D94" s="23" t="s">
        <v>680</v>
      </c>
      <c r="E94" s="23" t="s">
        <v>61</v>
      </c>
      <c r="F94" s="7" t="s">
        <v>13</v>
      </c>
      <c r="G94" s="23" t="s">
        <v>753</v>
      </c>
      <c r="H94" s="7" t="s">
        <v>13</v>
      </c>
      <c r="I94" s="23" t="s">
        <v>753</v>
      </c>
      <c r="J94" s="23" t="s">
        <v>712</v>
      </c>
      <c r="K94" s="23" t="s">
        <v>842</v>
      </c>
      <c r="L94" s="7" t="s">
        <v>13</v>
      </c>
      <c r="M94" s="6" t="s">
        <v>20</v>
      </c>
      <c r="N94" s="23">
        <v>36</v>
      </c>
      <c r="O94" s="23" t="s">
        <v>582</v>
      </c>
      <c r="P94" s="23">
        <v>35.01</v>
      </c>
      <c r="Q94" s="23" t="s">
        <v>12</v>
      </c>
      <c r="R94" s="24" t="s">
        <v>685</v>
      </c>
    </row>
    <row r="95" spans="1:18" x14ac:dyDescent="0.3">
      <c r="A95" s="17">
        <v>94</v>
      </c>
      <c r="B95" s="23" t="s">
        <v>840</v>
      </c>
      <c r="C95" s="8" t="s">
        <v>844</v>
      </c>
      <c r="D95" s="23" t="s">
        <v>680</v>
      </c>
      <c r="E95" s="23" t="s">
        <v>61</v>
      </c>
      <c r="F95" s="7" t="s">
        <v>13</v>
      </c>
      <c r="G95" s="23" t="s">
        <v>753</v>
      </c>
      <c r="H95" s="7" t="s">
        <v>13</v>
      </c>
      <c r="I95" s="23" t="s">
        <v>753</v>
      </c>
      <c r="J95" s="23" t="s">
        <v>712</v>
      </c>
      <c r="K95" s="23" t="s">
        <v>842</v>
      </c>
      <c r="L95" s="7" t="s">
        <v>13</v>
      </c>
      <c r="M95" s="6" t="s">
        <v>20</v>
      </c>
      <c r="N95" s="23">
        <v>48</v>
      </c>
      <c r="O95" s="23" t="s">
        <v>582</v>
      </c>
      <c r="P95" s="23">
        <v>39.159999999999997</v>
      </c>
      <c r="Q95" s="23" t="s">
        <v>12</v>
      </c>
      <c r="R95" s="24" t="s">
        <v>685</v>
      </c>
    </row>
    <row r="96" spans="1:18" x14ac:dyDescent="0.3">
      <c r="A96" s="17">
        <v>95</v>
      </c>
      <c r="B96" s="23" t="s">
        <v>840</v>
      </c>
      <c r="C96" s="8" t="s">
        <v>845</v>
      </c>
      <c r="D96" s="23" t="s">
        <v>680</v>
      </c>
      <c r="E96" s="23" t="s">
        <v>61</v>
      </c>
      <c r="F96" s="7" t="s">
        <v>13</v>
      </c>
      <c r="G96" s="23" t="s">
        <v>753</v>
      </c>
      <c r="H96" s="7" t="s">
        <v>13</v>
      </c>
      <c r="I96" s="23" t="s">
        <v>753</v>
      </c>
      <c r="J96" s="23" t="s">
        <v>712</v>
      </c>
      <c r="K96" s="23" t="s">
        <v>842</v>
      </c>
      <c r="L96" s="7" t="s">
        <v>13</v>
      </c>
      <c r="M96" s="6" t="s">
        <v>20</v>
      </c>
      <c r="N96" s="23">
        <v>60</v>
      </c>
      <c r="O96" s="23" t="s">
        <v>582</v>
      </c>
      <c r="P96" s="23">
        <v>47.21</v>
      </c>
      <c r="Q96" s="23" t="s">
        <v>12</v>
      </c>
      <c r="R96" s="24" t="s">
        <v>685</v>
      </c>
    </row>
    <row r="97" spans="1:18" x14ac:dyDescent="0.3">
      <c r="A97" s="17">
        <v>96</v>
      </c>
      <c r="B97" s="23" t="s">
        <v>846</v>
      </c>
      <c r="C97" s="8" t="s">
        <v>770</v>
      </c>
      <c r="D97" s="23" t="s">
        <v>698</v>
      </c>
      <c r="E97" s="23" t="s">
        <v>13</v>
      </c>
      <c r="F97" s="7">
        <v>60</v>
      </c>
      <c r="G97" s="23" t="s">
        <v>583</v>
      </c>
      <c r="H97" s="7" t="s">
        <v>13</v>
      </c>
      <c r="I97" s="23" t="s">
        <v>753</v>
      </c>
      <c r="J97" s="23" t="s">
        <v>717</v>
      </c>
      <c r="K97" s="23" t="s">
        <v>737</v>
      </c>
      <c r="L97" s="7">
        <v>7.5</v>
      </c>
      <c r="M97" s="6" t="s">
        <v>673</v>
      </c>
      <c r="N97" s="23">
        <v>7.1</v>
      </c>
      <c r="O97" s="23" t="s">
        <v>582</v>
      </c>
      <c r="P97" s="23">
        <v>0.61</v>
      </c>
      <c r="Q97" s="23" t="s">
        <v>12</v>
      </c>
      <c r="R97" s="24" t="s">
        <v>705</v>
      </c>
    </row>
    <row r="98" spans="1:18" x14ac:dyDescent="0.3">
      <c r="A98" s="17">
        <v>97</v>
      </c>
      <c r="B98" s="23" t="s">
        <v>846</v>
      </c>
      <c r="C98" s="8" t="s">
        <v>772</v>
      </c>
      <c r="D98" s="23" t="s">
        <v>698</v>
      </c>
      <c r="E98" s="23" t="s">
        <v>13</v>
      </c>
      <c r="F98" s="7">
        <v>120</v>
      </c>
      <c r="G98" s="23" t="s">
        <v>583</v>
      </c>
      <c r="H98" s="7" t="s">
        <v>13</v>
      </c>
      <c r="I98" s="23" t="s">
        <v>753</v>
      </c>
      <c r="J98" s="23" t="s">
        <v>717</v>
      </c>
      <c r="K98" s="23" t="s">
        <v>737</v>
      </c>
      <c r="L98" s="7">
        <v>15</v>
      </c>
      <c r="M98" s="6" t="s">
        <v>673</v>
      </c>
      <c r="N98" s="23">
        <v>14.1</v>
      </c>
      <c r="O98" s="23" t="s">
        <v>582</v>
      </c>
      <c r="P98" s="23">
        <v>0.61</v>
      </c>
      <c r="Q98" s="23" t="s">
        <v>12</v>
      </c>
      <c r="R98" s="24" t="s">
        <v>705</v>
      </c>
    </row>
    <row r="99" spans="1:18" x14ac:dyDescent="0.3">
      <c r="A99" s="17">
        <v>98</v>
      </c>
      <c r="B99" s="23" t="s">
        <v>846</v>
      </c>
      <c r="C99" s="8" t="s">
        <v>773</v>
      </c>
      <c r="D99" s="23" t="s">
        <v>698</v>
      </c>
      <c r="E99" s="23" t="s">
        <v>13</v>
      </c>
      <c r="F99" s="7">
        <v>240</v>
      </c>
      <c r="G99" s="23" t="s">
        <v>583</v>
      </c>
      <c r="H99" s="7" t="s">
        <v>13</v>
      </c>
      <c r="I99" s="23" t="s">
        <v>753</v>
      </c>
      <c r="J99" s="23" t="s">
        <v>717</v>
      </c>
      <c r="K99" s="23" t="s">
        <v>737</v>
      </c>
      <c r="L99" s="7">
        <v>30</v>
      </c>
      <c r="M99" s="6" t="s">
        <v>673</v>
      </c>
      <c r="N99" s="23">
        <v>28.3</v>
      </c>
      <c r="O99" s="23" t="s">
        <v>582</v>
      </c>
      <c r="P99" s="23">
        <v>1.21</v>
      </c>
      <c r="Q99" s="23" t="s">
        <v>12</v>
      </c>
      <c r="R99" s="24" t="s">
        <v>705</v>
      </c>
    </row>
    <row r="100" spans="1:18" x14ac:dyDescent="0.3">
      <c r="A100" s="17">
        <v>99</v>
      </c>
      <c r="B100" s="23" t="s">
        <v>846</v>
      </c>
      <c r="C100" s="8" t="s">
        <v>774</v>
      </c>
      <c r="D100" s="23" t="s">
        <v>698</v>
      </c>
      <c r="E100" s="23" t="s">
        <v>13</v>
      </c>
      <c r="F100" s="7">
        <v>360</v>
      </c>
      <c r="G100" s="23" t="s">
        <v>583</v>
      </c>
      <c r="H100" s="7" t="s">
        <v>13</v>
      </c>
      <c r="I100" s="23" t="s">
        <v>753</v>
      </c>
      <c r="J100" s="23" t="s">
        <v>717</v>
      </c>
      <c r="K100" s="23" t="s">
        <v>737</v>
      </c>
      <c r="L100" s="7">
        <v>45</v>
      </c>
      <c r="M100" s="6" t="s">
        <v>673</v>
      </c>
      <c r="N100" s="23">
        <v>42.4</v>
      </c>
      <c r="O100" s="23" t="s">
        <v>582</v>
      </c>
      <c r="P100" s="23">
        <v>1.82</v>
      </c>
      <c r="Q100" s="23" t="s">
        <v>12</v>
      </c>
      <c r="R100" s="24" t="s">
        <v>705</v>
      </c>
    </row>
    <row r="101" spans="1:18" x14ac:dyDescent="0.3">
      <c r="A101" s="17">
        <v>100</v>
      </c>
      <c r="B101" s="23" t="s">
        <v>846</v>
      </c>
      <c r="C101" s="8" t="s">
        <v>775</v>
      </c>
      <c r="D101" s="23" t="s">
        <v>698</v>
      </c>
      <c r="E101" s="23" t="s">
        <v>13</v>
      </c>
      <c r="F101" s="7">
        <v>480</v>
      </c>
      <c r="G101" s="23" t="s">
        <v>583</v>
      </c>
      <c r="H101" s="7" t="s">
        <v>13</v>
      </c>
      <c r="I101" s="23" t="s">
        <v>753</v>
      </c>
      <c r="J101" s="23" t="s">
        <v>717</v>
      </c>
      <c r="K101" s="23" t="s">
        <v>737</v>
      </c>
      <c r="L101" s="7">
        <v>60</v>
      </c>
      <c r="M101" s="6" t="s">
        <v>673</v>
      </c>
      <c r="N101" s="23">
        <v>56.5</v>
      </c>
      <c r="O101" s="23" t="s">
        <v>582</v>
      </c>
      <c r="P101" s="23">
        <v>2.42</v>
      </c>
      <c r="Q101" s="23" t="s">
        <v>12</v>
      </c>
      <c r="R101" s="24" t="s">
        <v>705</v>
      </c>
    </row>
    <row r="102" spans="1:18" x14ac:dyDescent="0.3">
      <c r="A102" s="17">
        <v>101</v>
      </c>
      <c r="B102" s="23" t="s">
        <v>846</v>
      </c>
      <c r="C102" s="8" t="s">
        <v>847</v>
      </c>
      <c r="D102" s="23" t="s">
        <v>698</v>
      </c>
      <c r="E102" s="23" t="s">
        <v>13</v>
      </c>
      <c r="F102" s="7">
        <v>120</v>
      </c>
      <c r="G102" s="23" t="s">
        <v>583</v>
      </c>
      <c r="H102" s="7" t="s">
        <v>13</v>
      </c>
      <c r="I102" s="23" t="s">
        <v>753</v>
      </c>
      <c r="J102" s="23" t="s">
        <v>717</v>
      </c>
      <c r="K102" s="23" t="s">
        <v>737</v>
      </c>
      <c r="L102" s="7">
        <v>15</v>
      </c>
      <c r="M102" s="6" t="s">
        <v>673</v>
      </c>
      <c r="N102" s="23">
        <v>14.1</v>
      </c>
      <c r="O102" s="23" t="s">
        <v>582</v>
      </c>
      <c r="P102" s="23">
        <v>1.48</v>
      </c>
      <c r="Q102" s="23" t="s">
        <v>12</v>
      </c>
      <c r="R102" s="24" t="s">
        <v>705</v>
      </c>
    </row>
    <row r="103" spans="1:18" x14ac:dyDescent="0.3">
      <c r="A103" s="17">
        <v>102</v>
      </c>
      <c r="B103" s="23" t="s">
        <v>846</v>
      </c>
      <c r="C103" s="8" t="s">
        <v>848</v>
      </c>
      <c r="D103" s="23" t="s">
        <v>698</v>
      </c>
      <c r="E103" s="23" t="s">
        <v>13</v>
      </c>
      <c r="F103" s="7">
        <v>240</v>
      </c>
      <c r="G103" s="23" t="s">
        <v>583</v>
      </c>
      <c r="H103" s="7" t="s">
        <v>13</v>
      </c>
      <c r="I103" s="23" t="s">
        <v>753</v>
      </c>
      <c r="J103" s="23" t="s">
        <v>717</v>
      </c>
      <c r="K103" s="23" t="s">
        <v>737</v>
      </c>
      <c r="L103" s="7">
        <v>30</v>
      </c>
      <c r="M103" s="6" t="s">
        <v>673</v>
      </c>
      <c r="N103" s="23">
        <v>28.3</v>
      </c>
      <c r="O103" s="23" t="s">
        <v>582</v>
      </c>
      <c r="P103" s="23">
        <v>1.48</v>
      </c>
      <c r="Q103" s="23" t="s">
        <v>12</v>
      </c>
      <c r="R103" s="24" t="s">
        <v>705</v>
      </c>
    </row>
    <row r="104" spans="1:18" x14ac:dyDescent="0.3">
      <c r="A104" s="36">
        <v>103</v>
      </c>
      <c r="B104" s="32" t="s">
        <v>846</v>
      </c>
      <c r="C104" s="37" t="s">
        <v>849</v>
      </c>
      <c r="D104" s="32" t="s">
        <v>698</v>
      </c>
      <c r="E104" s="32" t="s">
        <v>13</v>
      </c>
      <c r="F104" s="34">
        <v>360</v>
      </c>
      <c r="G104" s="32" t="s">
        <v>583</v>
      </c>
      <c r="H104" s="34" t="s">
        <v>13</v>
      </c>
      <c r="I104" s="32" t="s">
        <v>753</v>
      </c>
      <c r="J104" s="32" t="s">
        <v>717</v>
      </c>
      <c r="K104" s="32" t="s">
        <v>737</v>
      </c>
      <c r="L104" s="34">
        <v>45</v>
      </c>
      <c r="M104" s="33" t="s">
        <v>673</v>
      </c>
      <c r="N104" s="32">
        <v>42.4</v>
      </c>
      <c r="O104" s="32" t="s">
        <v>582</v>
      </c>
      <c r="P104" s="32">
        <v>2.96</v>
      </c>
      <c r="Q104" s="32" t="s">
        <v>12</v>
      </c>
      <c r="R104" s="35" t="s">
        <v>705</v>
      </c>
    </row>
    <row r="105" spans="1:18" x14ac:dyDescent="0.3">
      <c r="A105" s="17">
        <v>104</v>
      </c>
      <c r="B105" s="23" t="s">
        <v>1100</v>
      </c>
      <c r="C105" s="8" t="s">
        <v>1101</v>
      </c>
      <c r="D105" s="23" t="s">
        <v>680</v>
      </c>
      <c r="E105" s="23" t="s">
        <v>61</v>
      </c>
      <c r="F105" s="7" t="s">
        <v>13</v>
      </c>
      <c r="G105" s="23" t="s">
        <v>583</v>
      </c>
      <c r="H105" s="7" t="s">
        <v>13</v>
      </c>
      <c r="I105" s="23" t="s">
        <v>753</v>
      </c>
      <c r="J105" s="23" t="s">
        <v>717</v>
      </c>
      <c r="K105" s="23" t="s">
        <v>13</v>
      </c>
      <c r="L105" s="7" t="s">
        <v>13</v>
      </c>
      <c r="M105" s="6" t="s">
        <v>20</v>
      </c>
      <c r="N105" s="23">
        <f>ROUNDUP(0.25*2.07,2)</f>
        <v>0.52</v>
      </c>
      <c r="O105" s="23" t="s">
        <v>582</v>
      </c>
      <c r="P105" s="23">
        <f>ROUNDUP((0.18 + 0.55 + 11)/0.7457,2)</f>
        <v>15.74</v>
      </c>
      <c r="Q105" s="23" t="s">
        <v>12</v>
      </c>
      <c r="R105" s="24" t="s">
        <v>1102</v>
      </c>
    </row>
    <row r="106" spans="1:18" x14ac:dyDescent="0.3">
      <c r="A106" s="17">
        <v>105</v>
      </c>
      <c r="B106" s="23" t="s">
        <v>1104</v>
      </c>
      <c r="C106" s="8" t="s">
        <v>1103</v>
      </c>
      <c r="D106" s="23" t="s">
        <v>698</v>
      </c>
      <c r="E106" s="23" t="s">
        <v>61</v>
      </c>
      <c r="F106" s="7" t="s">
        <v>13</v>
      </c>
      <c r="G106" s="23" t="s">
        <v>583</v>
      </c>
      <c r="H106" s="7" t="s">
        <v>13</v>
      </c>
      <c r="I106" s="23" t="s">
        <v>753</v>
      </c>
      <c r="J106" s="23" t="s">
        <v>717</v>
      </c>
      <c r="K106" s="23" t="s">
        <v>737</v>
      </c>
      <c r="L106" s="7">
        <v>6</v>
      </c>
      <c r="M106" s="6" t="s">
        <v>673</v>
      </c>
      <c r="N106" s="23">
        <f>ROUNDUP(24*0.28*0.58,2)</f>
        <v>3.9</v>
      </c>
      <c r="O106" s="23" t="s">
        <v>582</v>
      </c>
      <c r="P106" s="23">
        <f>ROUNDUP((0.75)/0.7457,2)</f>
        <v>1.01</v>
      </c>
      <c r="Q106" s="23" t="s">
        <v>12</v>
      </c>
      <c r="R106" s="24" t="s">
        <v>1106</v>
      </c>
    </row>
    <row r="107" spans="1:18" x14ac:dyDescent="0.3">
      <c r="A107" s="36">
        <v>106</v>
      </c>
      <c r="B107" s="23" t="s">
        <v>1108</v>
      </c>
      <c r="C107" s="8" t="s">
        <v>1107</v>
      </c>
      <c r="D107" s="23" t="s">
        <v>690</v>
      </c>
      <c r="E107" s="23" t="s">
        <v>41</v>
      </c>
      <c r="F107" s="7" t="s">
        <v>13</v>
      </c>
      <c r="G107" s="23" t="s">
        <v>753</v>
      </c>
      <c r="H107" s="7" t="s">
        <v>13</v>
      </c>
      <c r="I107" s="23" t="s">
        <v>753</v>
      </c>
      <c r="J107" s="23" t="s">
        <v>712</v>
      </c>
      <c r="K107" s="23" t="s">
        <v>737</v>
      </c>
      <c r="L107" s="7">
        <v>6</v>
      </c>
      <c r="M107" s="6" t="s">
        <v>673</v>
      </c>
      <c r="N107" s="23">
        <f>ROUNDUP(PI()*2.2*9,2)</f>
        <v>62.21</v>
      </c>
      <c r="O107" s="23" t="s">
        <v>582</v>
      </c>
      <c r="P107" s="23">
        <f>ROUNDUP((30 + 75 + 0.55 + 7.5)/0.7457,2)</f>
        <v>151.60999999999999</v>
      </c>
      <c r="Q107" s="23" t="s">
        <v>12</v>
      </c>
      <c r="R107" s="24" t="s">
        <v>1112</v>
      </c>
    </row>
    <row r="108" spans="1:18" x14ac:dyDescent="0.3">
      <c r="A108" s="17">
        <v>107</v>
      </c>
      <c r="B108" s="23" t="s">
        <v>1109</v>
      </c>
      <c r="C108" s="8" t="s">
        <v>1110</v>
      </c>
      <c r="D108" s="23" t="s">
        <v>690</v>
      </c>
      <c r="E108" s="23" t="s">
        <v>41</v>
      </c>
      <c r="F108" s="7" t="s">
        <v>13</v>
      </c>
      <c r="G108" s="23" t="s">
        <v>753</v>
      </c>
      <c r="H108" s="7" t="s">
        <v>13</v>
      </c>
      <c r="I108" s="23" t="s">
        <v>753</v>
      </c>
      <c r="J108" s="23" t="s">
        <v>712</v>
      </c>
      <c r="K108" s="23" t="s">
        <v>1111</v>
      </c>
      <c r="L108" s="7" t="s">
        <v>13</v>
      </c>
      <c r="M108" s="6" t="s">
        <v>20</v>
      </c>
      <c r="N108" s="23">
        <f>ROUNDUP(PI()*66*348*(2.54/100)^2,2)</f>
        <v>46.559999999999995</v>
      </c>
      <c r="O108" s="23" t="s">
        <v>582</v>
      </c>
      <c r="P108" s="23">
        <f xml:space="preserve"> 5 + 20 + 1 + 0.75</f>
        <v>26.75</v>
      </c>
      <c r="Q108" s="23" t="s">
        <v>12</v>
      </c>
      <c r="R108" s="24" t="s">
        <v>1113</v>
      </c>
    </row>
    <row r="109" spans="1:18" x14ac:dyDescent="0.3">
      <c r="A109" s="17">
        <v>108</v>
      </c>
      <c r="B109" s="23" t="s">
        <v>1115</v>
      </c>
      <c r="C109" s="8" t="s">
        <v>1114</v>
      </c>
      <c r="D109" s="23" t="s">
        <v>698</v>
      </c>
      <c r="E109" s="23" t="s">
        <v>61</v>
      </c>
      <c r="F109" s="7" t="s">
        <v>13</v>
      </c>
      <c r="G109" s="23" t="s">
        <v>583</v>
      </c>
      <c r="H109" s="7" t="s">
        <v>13</v>
      </c>
      <c r="I109" s="23" t="s">
        <v>753</v>
      </c>
      <c r="J109" s="23" t="s">
        <v>717</v>
      </c>
      <c r="K109" s="23" t="s">
        <v>13</v>
      </c>
      <c r="L109" s="7" t="s">
        <v>13</v>
      </c>
      <c r="M109" s="6" t="s">
        <v>20</v>
      </c>
      <c r="N109" s="23">
        <f>ROUNDUP(26*0.55*0.5,2)</f>
        <v>7.15</v>
      </c>
      <c r="O109" s="23" t="s">
        <v>582</v>
      </c>
      <c r="P109" s="23">
        <f>ROUNDUP((0.25 + 0.024)/0.7457,2)</f>
        <v>0.37</v>
      </c>
      <c r="Q109" s="23" t="s">
        <v>12</v>
      </c>
      <c r="R109" s="24" t="s">
        <v>1116</v>
      </c>
    </row>
    <row r="110" spans="1:18" x14ac:dyDescent="0.3">
      <c r="A110" s="36">
        <v>109</v>
      </c>
      <c r="B110" s="23" t="s">
        <v>1118</v>
      </c>
      <c r="C110" s="8" t="s">
        <v>1117</v>
      </c>
      <c r="D110" s="23" t="s">
        <v>698</v>
      </c>
      <c r="E110" s="23" t="s">
        <v>61</v>
      </c>
      <c r="F110" s="7" t="s">
        <v>13</v>
      </c>
      <c r="G110" s="23" t="s">
        <v>583</v>
      </c>
      <c r="H110" s="7" t="s">
        <v>13</v>
      </c>
      <c r="I110" s="23" t="s">
        <v>753</v>
      </c>
      <c r="J110" s="23" t="s">
        <v>717</v>
      </c>
      <c r="K110" s="23" t="s">
        <v>737</v>
      </c>
      <c r="L110" s="7">
        <v>18</v>
      </c>
      <c r="M110" s="6" t="s">
        <v>673</v>
      </c>
      <c r="N110" s="23">
        <f>ROUNDUP(11*0.7*0.79,2)</f>
        <v>6.09</v>
      </c>
      <c r="O110" s="23" t="s">
        <v>582</v>
      </c>
      <c r="P110" s="23">
        <f>ROUNDUP((1.5)/0.7457,2)</f>
        <v>2.0199999999999996</v>
      </c>
      <c r="Q110" s="23" t="s">
        <v>12</v>
      </c>
      <c r="R110" s="24" t="s">
        <v>1119</v>
      </c>
    </row>
    <row r="111" spans="1:18" ht="15" thickBot="1" x14ac:dyDescent="0.35">
      <c r="A111" s="18">
        <v>110</v>
      </c>
      <c r="B111" s="25" t="s">
        <v>1120</v>
      </c>
      <c r="C111" s="12" t="s">
        <v>1121</v>
      </c>
      <c r="D111" s="25" t="s">
        <v>690</v>
      </c>
      <c r="E111" s="25" t="s">
        <v>41</v>
      </c>
      <c r="F111" s="11" t="s">
        <v>13</v>
      </c>
      <c r="G111" s="25" t="s">
        <v>753</v>
      </c>
      <c r="H111" s="11" t="s">
        <v>13</v>
      </c>
      <c r="I111" s="25" t="s">
        <v>753</v>
      </c>
      <c r="J111" s="25" t="s">
        <v>712</v>
      </c>
      <c r="K111" s="25" t="s">
        <v>780</v>
      </c>
      <c r="L111" s="11" t="s">
        <v>13</v>
      </c>
      <c r="M111" s="10" t="s">
        <v>20</v>
      </c>
      <c r="N111" s="25">
        <f>ROUNDUP(PI()*8*30*(0.3048)^2,2)</f>
        <v>70.050000000000011</v>
      </c>
      <c r="O111" s="25" t="s">
        <v>582</v>
      </c>
      <c r="P111" s="25">
        <f xml:space="preserve"> 30 + 30</f>
        <v>60</v>
      </c>
      <c r="Q111" s="25" t="s">
        <v>12</v>
      </c>
      <c r="R111" s="26" t="s">
        <v>1122</v>
      </c>
    </row>
    <row r="112" spans="1:18" ht="15" thickBot="1" x14ac:dyDescent="0.35">
      <c r="C112"/>
    </row>
    <row r="113" spans="1:3" x14ac:dyDescent="0.3">
      <c r="A113" s="14" t="s">
        <v>869</v>
      </c>
      <c r="B113" s="29" t="s">
        <v>227</v>
      </c>
      <c r="C113" s="16" t="s">
        <v>236</v>
      </c>
    </row>
    <row r="114" spans="1:3" x14ac:dyDescent="0.3">
      <c r="A114" s="17">
        <v>1</v>
      </c>
      <c r="B114" s="28" t="s">
        <v>228</v>
      </c>
      <c r="C114" s="9" t="s">
        <v>850</v>
      </c>
    </row>
    <row r="115" spans="1:3" x14ac:dyDescent="0.3">
      <c r="A115" s="17">
        <v>2</v>
      </c>
      <c r="B115" s="28" t="s">
        <v>851</v>
      </c>
      <c r="C115" s="9" t="s">
        <v>858</v>
      </c>
    </row>
    <row r="116" spans="1:3" x14ac:dyDescent="0.3">
      <c r="A116" s="17">
        <v>3</v>
      </c>
      <c r="B116" s="28" t="s">
        <v>852</v>
      </c>
      <c r="C116" s="9" t="s">
        <v>859</v>
      </c>
    </row>
    <row r="117" spans="1:3" x14ac:dyDescent="0.3">
      <c r="A117" s="17">
        <v>4</v>
      </c>
      <c r="B117" s="28" t="s">
        <v>853</v>
      </c>
      <c r="C117" s="9" t="s">
        <v>860</v>
      </c>
    </row>
    <row r="118" spans="1:3" x14ac:dyDescent="0.3">
      <c r="A118" s="17">
        <v>5</v>
      </c>
      <c r="B118" s="28" t="s">
        <v>862</v>
      </c>
      <c r="C118" s="9" t="s">
        <v>861</v>
      </c>
    </row>
    <row r="119" spans="1:3" x14ac:dyDescent="0.3">
      <c r="A119" s="17">
        <v>6</v>
      </c>
      <c r="B119" s="28" t="s">
        <v>854</v>
      </c>
      <c r="C119" s="9" t="s">
        <v>863</v>
      </c>
    </row>
    <row r="120" spans="1:3" x14ac:dyDescent="0.3">
      <c r="A120" s="17">
        <v>7</v>
      </c>
      <c r="B120" s="28" t="s">
        <v>855</v>
      </c>
      <c r="C120" s="9" t="s">
        <v>864</v>
      </c>
    </row>
    <row r="121" spans="1:3" x14ac:dyDescent="0.3">
      <c r="A121" s="17">
        <v>8</v>
      </c>
      <c r="B121" s="28" t="s">
        <v>232</v>
      </c>
      <c r="C121" s="9" t="s">
        <v>865</v>
      </c>
    </row>
    <row r="122" spans="1:3" x14ac:dyDescent="0.3">
      <c r="A122" s="17">
        <v>9</v>
      </c>
      <c r="B122" s="28" t="s">
        <v>234</v>
      </c>
      <c r="C122" s="9" t="s">
        <v>866</v>
      </c>
    </row>
    <row r="123" spans="1:3" x14ac:dyDescent="0.3">
      <c r="A123" s="17">
        <v>10</v>
      </c>
      <c r="B123" s="28" t="s">
        <v>856</v>
      </c>
      <c r="C123" s="9" t="s">
        <v>867</v>
      </c>
    </row>
    <row r="124" spans="1:3" x14ac:dyDescent="0.3">
      <c r="A124" s="17">
        <v>11</v>
      </c>
      <c r="B124" s="28" t="s">
        <v>857</v>
      </c>
      <c r="C124" s="9" t="s">
        <v>868</v>
      </c>
    </row>
    <row r="125" spans="1:3" ht="15" thickBot="1" x14ac:dyDescent="0.35">
      <c r="A125" s="18">
        <v>12</v>
      </c>
      <c r="B125" s="30" t="s">
        <v>676</v>
      </c>
      <c r="C125" s="13" t="s">
        <v>1123</v>
      </c>
    </row>
  </sheetData>
  <hyperlinks>
    <hyperlink ref="B114" r:id="rId1" xr:uid="{B1859381-A5E1-4287-BE5C-AE5DE9ED5CCE}"/>
    <hyperlink ref="B115" r:id="rId2" xr:uid="{A5D3DF59-2D3C-4027-9766-A6E739F64072}"/>
    <hyperlink ref="B116" r:id="rId3" xr:uid="{E4C4FF77-1F64-4D84-9729-55AE4BAE54A9}"/>
    <hyperlink ref="B117" r:id="rId4" xr:uid="{34A0FCEC-C9BC-4FAB-ACAE-24F965D8096A}"/>
    <hyperlink ref="B118" r:id="rId5" xr:uid="{FE17D091-11F3-4A55-AC69-8F4FEC4FD28B}"/>
    <hyperlink ref="B119" r:id="rId6" xr:uid="{02BC59B3-8190-43F6-B18E-54B00C38F897}"/>
    <hyperlink ref="B120" r:id="rId7" xr:uid="{09132056-B2FC-4D39-A182-D66ADE036659}"/>
    <hyperlink ref="B121" r:id="rId8" xr:uid="{2EFAE3D6-A86A-438B-A3BB-FE3C3DEB122E}"/>
    <hyperlink ref="B122" r:id="rId9" xr:uid="{8F927CCC-8A90-438B-96C8-7E24C9EA4019}"/>
    <hyperlink ref="B123" r:id="rId10" xr:uid="{406FCA03-24DC-4F65-8C54-613F91398561}"/>
    <hyperlink ref="B124" r:id="rId11" xr:uid="{DF7AA35D-7E76-4CFB-BAA4-192F5ABAD1FB}"/>
    <hyperlink ref="B125" r:id="rId12" xr:uid="{8350E429-5C49-4FAB-B74A-F5D8B48FC70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864B4-3595-4629-A744-F76B266584EB}">
  <dimension ref="A1:V137"/>
  <sheetViews>
    <sheetView zoomScale="80" zoomScaleNormal="80" workbookViewId="0">
      <pane ySplit="1" topLeftCell="A2" activePane="bottomLeft" state="frozen"/>
      <selection pane="bottomLeft" activeCell="H2" sqref="H2"/>
    </sheetView>
  </sheetViews>
  <sheetFormatPr defaultRowHeight="14.4" x14ac:dyDescent="0.3"/>
  <cols>
    <col min="1" max="1" width="9.6640625" bestFit="1" customWidth="1"/>
    <col min="2" max="2" width="53.6640625" bestFit="1" customWidth="1"/>
    <col min="3" max="3" width="9.88671875" bestFit="1" customWidth="1"/>
    <col min="4" max="4" width="9.5546875" style="5" bestFit="1" customWidth="1"/>
    <col min="5" max="5" width="4.88671875" bestFit="1" customWidth="1"/>
    <col min="6" max="6" width="10" style="5" bestFit="1" customWidth="1"/>
    <col min="7" max="7" width="4.88671875" style="3" bestFit="1" customWidth="1"/>
    <col min="8" max="8" width="18.33203125" bestFit="1" customWidth="1"/>
    <col min="9" max="9" width="23.33203125" bestFit="1" customWidth="1"/>
    <col min="10" max="10" width="13.109375" style="5" bestFit="1" customWidth="1"/>
    <col min="11" max="11" width="5.5546875" bestFit="1" customWidth="1"/>
    <col min="12" max="12" width="15.5546875" bestFit="1" customWidth="1"/>
    <col min="13" max="13" width="12" bestFit="1" customWidth="1"/>
    <col min="14" max="14" width="10" bestFit="1" customWidth="1"/>
    <col min="15" max="15" width="7.109375" bestFit="1" customWidth="1"/>
    <col min="16" max="16" width="17.88671875" bestFit="1" customWidth="1"/>
    <col min="17" max="17" width="4.88671875" bestFit="1" customWidth="1"/>
    <col min="18" max="18" width="19.5546875" bestFit="1" customWidth="1"/>
    <col min="19" max="19" width="4.88671875" bestFit="1" customWidth="1"/>
    <col min="20" max="20" width="12.33203125" bestFit="1" customWidth="1"/>
    <col min="21" max="21" width="4.88671875" bestFit="1" customWidth="1"/>
    <col min="22" max="22" width="26.6640625" bestFit="1" customWidth="1"/>
  </cols>
  <sheetData>
    <row r="1" spans="1:22" s="2" customFormat="1" x14ac:dyDescent="0.3">
      <c r="A1" s="14" t="s">
        <v>677</v>
      </c>
      <c r="B1" s="15" t="s">
        <v>572</v>
      </c>
      <c r="C1" s="15" t="s">
        <v>0</v>
      </c>
      <c r="D1" s="15" t="s">
        <v>1282</v>
      </c>
      <c r="E1" s="15" t="s">
        <v>2</v>
      </c>
      <c r="F1" s="15" t="s">
        <v>1124</v>
      </c>
      <c r="G1" s="15" t="s">
        <v>2</v>
      </c>
      <c r="H1" s="15" t="s">
        <v>1315</v>
      </c>
      <c r="I1" s="15" t="s">
        <v>573</v>
      </c>
      <c r="J1" s="15" t="s">
        <v>1125</v>
      </c>
      <c r="K1" s="15" t="s">
        <v>2</v>
      </c>
      <c r="L1" s="15" t="s">
        <v>707</v>
      </c>
      <c r="M1" s="15" t="s">
        <v>708</v>
      </c>
      <c r="N1" s="15" t="s">
        <v>709</v>
      </c>
      <c r="O1" s="15" t="s">
        <v>2</v>
      </c>
      <c r="P1" s="15" t="s">
        <v>678</v>
      </c>
      <c r="Q1" s="15" t="s">
        <v>2</v>
      </c>
      <c r="R1" s="15" t="s">
        <v>1126</v>
      </c>
      <c r="S1" s="15" t="s">
        <v>2</v>
      </c>
      <c r="T1" s="15" t="s">
        <v>4</v>
      </c>
      <c r="U1" s="15" t="s">
        <v>2</v>
      </c>
      <c r="V1" s="16" t="s">
        <v>577</v>
      </c>
    </row>
    <row r="2" spans="1:22" x14ac:dyDescent="0.3">
      <c r="A2" s="17">
        <v>1</v>
      </c>
      <c r="B2" s="23" t="s">
        <v>1127</v>
      </c>
      <c r="C2" s="23" t="s">
        <v>1128</v>
      </c>
      <c r="D2" s="7" t="s">
        <v>20</v>
      </c>
      <c r="E2" s="23" t="s">
        <v>20</v>
      </c>
      <c r="F2" s="7" t="s">
        <v>20</v>
      </c>
      <c r="G2" s="6" t="s">
        <v>20</v>
      </c>
      <c r="H2" s="23" t="s">
        <v>1129</v>
      </c>
      <c r="I2" s="23" t="s">
        <v>13</v>
      </c>
      <c r="J2" s="7" t="s">
        <v>13</v>
      </c>
      <c r="K2" s="23" t="s">
        <v>20</v>
      </c>
      <c r="L2" s="23" t="s">
        <v>712</v>
      </c>
      <c r="M2" s="23" t="s">
        <v>1130</v>
      </c>
      <c r="N2" s="23">
        <v>5000000</v>
      </c>
      <c r="O2" s="23" t="s">
        <v>714</v>
      </c>
      <c r="P2" s="23">
        <v>52.18</v>
      </c>
      <c r="Q2" s="23" t="s">
        <v>582</v>
      </c>
      <c r="R2" s="23">
        <v>21.87</v>
      </c>
      <c r="S2" s="23" t="s">
        <v>1131</v>
      </c>
      <c r="T2" s="23">
        <v>0.75</v>
      </c>
      <c r="U2" s="23" t="s">
        <v>673</v>
      </c>
      <c r="V2" s="24" t="s">
        <v>598</v>
      </c>
    </row>
    <row r="3" spans="1:22" x14ac:dyDescent="0.3">
      <c r="A3" s="17">
        <v>2</v>
      </c>
      <c r="B3" s="23" t="s">
        <v>1132</v>
      </c>
      <c r="C3" s="23" t="s">
        <v>1133</v>
      </c>
      <c r="D3" s="7">
        <v>3</v>
      </c>
      <c r="E3" s="23" t="s">
        <v>1105</v>
      </c>
      <c r="F3" s="7">
        <v>88</v>
      </c>
      <c r="G3" s="6" t="s">
        <v>1105</v>
      </c>
      <c r="H3" s="23" t="s">
        <v>1129</v>
      </c>
      <c r="I3" s="23" t="s">
        <v>61</v>
      </c>
      <c r="J3" s="7">
        <v>16000</v>
      </c>
      <c r="K3" s="23" t="s">
        <v>753</v>
      </c>
      <c r="L3" s="23" t="s">
        <v>712</v>
      </c>
      <c r="M3" s="23" t="s">
        <v>807</v>
      </c>
      <c r="N3" s="23" t="s">
        <v>13</v>
      </c>
      <c r="O3" s="23" t="s">
        <v>20</v>
      </c>
      <c r="P3" s="23">
        <v>829.39</v>
      </c>
      <c r="Q3" s="23" t="s">
        <v>582</v>
      </c>
      <c r="R3" s="23">
        <v>622.04</v>
      </c>
      <c r="S3" s="23" t="s">
        <v>1131</v>
      </c>
      <c r="T3" s="23">
        <v>90</v>
      </c>
      <c r="U3" s="23" t="s">
        <v>673</v>
      </c>
      <c r="V3" s="24" t="s">
        <v>1134</v>
      </c>
    </row>
    <row r="4" spans="1:22" x14ac:dyDescent="0.3">
      <c r="A4" s="17">
        <v>3</v>
      </c>
      <c r="B4" s="23" t="s">
        <v>1132</v>
      </c>
      <c r="C4" s="23" t="s">
        <v>1135</v>
      </c>
      <c r="D4" s="7">
        <v>3</v>
      </c>
      <c r="E4" s="23" t="s">
        <v>1105</v>
      </c>
      <c r="F4" s="7">
        <v>100</v>
      </c>
      <c r="G4" s="6" t="s">
        <v>1105</v>
      </c>
      <c r="H4" s="23" t="s">
        <v>1129</v>
      </c>
      <c r="I4" s="23" t="s">
        <v>61</v>
      </c>
      <c r="J4" s="7">
        <v>12500</v>
      </c>
      <c r="K4" s="23" t="s">
        <v>753</v>
      </c>
      <c r="L4" s="23" t="s">
        <v>712</v>
      </c>
      <c r="M4" s="23" t="s">
        <v>807</v>
      </c>
      <c r="N4" s="23" t="s">
        <v>13</v>
      </c>
      <c r="O4" s="23" t="s">
        <v>20</v>
      </c>
      <c r="P4" s="23">
        <v>942.48</v>
      </c>
      <c r="Q4" s="23" t="s">
        <v>582</v>
      </c>
      <c r="R4" s="23">
        <v>706.86</v>
      </c>
      <c r="S4" s="23" t="s">
        <v>1131</v>
      </c>
      <c r="T4" s="23">
        <v>110</v>
      </c>
      <c r="U4" s="23" t="s">
        <v>673</v>
      </c>
      <c r="V4" s="24" t="s">
        <v>1134</v>
      </c>
    </row>
    <row r="5" spans="1:22" x14ac:dyDescent="0.3">
      <c r="A5" s="17">
        <v>4</v>
      </c>
      <c r="B5" s="23" t="s">
        <v>1132</v>
      </c>
      <c r="C5" s="23" t="s">
        <v>1136</v>
      </c>
      <c r="D5" s="7">
        <v>3.3</v>
      </c>
      <c r="E5" s="23" t="s">
        <v>1105</v>
      </c>
      <c r="F5" s="7">
        <v>118</v>
      </c>
      <c r="G5" s="6" t="s">
        <v>1105</v>
      </c>
      <c r="H5" s="23" t="s">
        <v>1129</v>
      </c>
      <c r="I5" s="23" t="s">
        <v>61</v>
      </c>
      <c r="J5" s="7">
        <v>16666.669999999998</v>
      </c>
      <c r="K5" s="23" t="s">
        <v>753</v>
      </c>
      <c r="L5" s="23" t="s">
        <v>712</v>
      </c>
      <c r="M5" s="23" t="s">
        <v>807</v>
      </c>
      <c r="N5" s="23" t="s">
        <v>13</v>
      </c>
      <c r="O5" s="23" t="s">
        <v>20</v>
      </c>
      <c r="P5" s="23">
        <v>1223.3399999999999</v>
      </c>
      <c r="Q5" s="23" t="s">
        <v>582</v>
      </c>
      <c r="R5" s="23">
        <v>1009.26</v>
      </c>
      <c r="S5" s="23" t="s">
        <v>1131</v>
      </c>
      <c r="T5" s="23">
        <v>125</v>
      </c>
      <c r="U5" s="23" t="s">
        <v>673</v>
      </c>
      <c r="V5" s="24" t="s">
        <v>1134</v>
      </c>
    </row>
    <row r="6" spans="1:22" x14ac:dyDescent="0.3">
      <c r="A6" s="17">
        <v>5</v>
      </c>
      <c r="B6" s="23" t="s">
        <v>1132</v>
      </c>
      <c r="C6" s="23" t="s">
        <v>1137</v>
      </c>
      <c r="D6" s="7">
        <v>3.3</v>
      </c>
      <c r="E6" s="23" t="s">
        <v>1105</v>
      </c>
      <c r="F6" s="7">
        <v>125</v>
      </c>
      <c r="G6" s="6" t="s">
        <v>1105</v>
      </c>
      <c r="H6" s="23" t="s">
        <v>1129</v>
      </c>
      <c r="I6" s="23" t="s">
        <v>61</v>
      </c>
      <c r="J6" s="7">
        <v>16666.669999999998</v>
      </c>
      <c r="K6" s="23" t="s">
        <v>753</v>
      </c>
      <c r="L6" s="23" t="s">
        <v>712</v>
      </c>
      <c r="M6" s="23" t="s">
        <v>807</v>
      </c>
      <c r="N6" s="23" t="s">
        <v>13</v>
      </c>
      <c r="O6" s="23" t="s">
        <v>20</v>
      </c>
      <c r="P6" s="23">
        <v>1295.9100000000001</v>
      </c>
      <c r="Q6" s="23" t="s">
        <v>582</v>
      </c>
      <c r="R6" s="23">
        <v>1069.1299999999999</v>
      </c>
      <c r="S6" s="23" t="s">
        <v>1131</v>
      </c>
      <c r="T6" s="23">
        <v>160</v>
      </c>
      <c r="U6" s="23" t="s">
        <v>673</v>
      </c>
      <c r="V6" s="24" t="s">
        <v>1134</v>
      </c>
    </row>
    <row r="7" spans="1:22" x14ac:dyDescent="0.3">
      <c r="A7" s="17">
        <v>6</v>
      </c>
      <c r="B7" s="23" t="s">
        <v>1132</v>
      </c>
      <c r="C7" s="23" t="s">
        <v>1138</v>
      </c>
      <c r="D7" s="7">
        <v>3.5</v>
      </c>
      <c r="E7" s="23" t="s">
        <v>1105</v>
      </c>
      <c r="F7" s="7">
        <v>145</v>
      </c>
      <c r="G7" s="6" t="s">
        <v>1105</v>
      </c>
      <c r="H7" s="23" t="s">
        <v>1129</v>
      </c>
      <c r="I7" s="23" t="s">
        <v>61</v>
      </c>
      <c r="J7" s="7">
        <v>29166.67</v>
      </c>
      <c r="K7" s="23" t="s">
        <v>753</v>
      </c>
      <c r="L7" s="23" t="s">
        <v>712</v>
      </c>
      <c r="M7" s="23" t="s">
        <v>807</v>
      </c>
      <c r="N7" s="23" t="s">
        <v>13</v>
      </c>
      <c r="O7" s="23" t="s">
        <v>20</v>
      </c>
      <c r="P7" s="23">
        <v>1594.36</v>
      </c>
      <c r="Q7" s="23" t="s">
        <v>582</v>
      </c>
      <c r="R7" s="23">
        <v>1395.07</v>
      </c>
      <c r="S7" s="23" t="s">
        <v>1131</v>
      </c>
      <c r="T7" s="23">
        <v>180</v>
      </c>
      <c r="U7" s="23" t="s">
        <v>673</v>
      </c>
      <c r="V7" s="24" t="s">
        <v>1134</v>
      </c>
    </row>
    <row r="8" spans="1:22" x14ac:dyDescent="0.3">
      <c r="A8" s="17">
        <v>7</v>
      </c>
      <c r="B8" s="23" t="s">
        <v>1139</v>
      </c>
      <c r="C8" s="23" t="s">
        <v>1140</v>
      </c>
      <c r="D8" s="7">
        <v>3</v>
      </c>
      <c r="E8" s="23" t="s">
        <v>1105</v>
      </c>
      <c r="F8" s="7">
        <v>48</v>
      </c>
      <c r="G8" s="6" t="s">
        <v>1105</v>
      </c>
      <c r="H8" s="23" t="s">
        <v>1129</v>
      </c>
      <c r="I8" s="23" t="s">
        <v>13</v>
      </c>
      <c r="J8" s="7">
        <v>27083.33</v>
      </c>
      <c r="K8" s="23" t="s">
        <v>753</v>
      </c>
      <c r="L8" s="23" t="s">
        <v>712</v>
      </c>
      <c r="M8" s="23" t="s">
        <v>13</v>
      </c>
      <c r="N8" s="23" t="s">
        <v>13</v>
      </c>
      <c r="O8" s="23" t="s">
        <v>20</v>
      </c>
      <c r="P8" s="23">
        <v>452.39</v>
      </c>
      <c r="Q8" s="23" t="s">
        <v>582</v>
      </c>
      <c r="R8" s="23">
        <v>339.3</v>
      </c>
      <c r="S8" s="23" t="s">
        <v>1131</v>
      </c>
      <c r="T8" s="23">
        <v>100</v>
      </c>
      <c r="U8" s="23" t="s">
        <v>673</v>
      </c>
      <c r="V8" s="24" t="s">
        <v>1134</v>
      </c>
    </row>
    <row r="9" spans="1:22" x14ac:dyDescent="0.3">
      <c r="A9" s="17">
        <v>8</v>
      </c>
      <c r="B9" s="23" t="s">
        <v>1139</v>
      </c>
      <c r="C9" s="23" t="s">
        <v>1141</v>
      </c>
      <c r="D9" s="7">
        <v>3.2</v>
      </c>
      <c r="E9" s="23" t="s">
        <v>1105</v>
      </c>
      <c r="F9" s="7">
        <v>50</v>
      </c>
      <c r="G9" s="6" t="s">
        <v>1105</v>
      </c>
      <c r="H9" s="23" t="s">
        <v>1129</v>
      </c>
      <c r="I9" s="23" t="s">
        <v>13</v>
      </c>
      <c r="J9" s="7">
        <v>41666.67</v>
      </c>
      <c r="K9" s="23" t="s">
        <v>753</v>
      </c>
      <c r="L9" s="23" t="s">
        <v>712</v>
      </c>
      <c r="M9" s="23" t="s">
        <v>13</v>
      </c>
      <c r="N9" s="23" t="s">
        <v>13</v>
      </c>
      <c r="O9" s="23" t="s">
        <v>20</v>
      </c>
      <c r="P9" s="23">
        <v>502.65999999999997</v>
      </c>
      <c r="Q9" s="23" t="s">
        <v>582</v>
      </c>
      <c r="R9" s="23">
        <v>402.13</v>
      </c>
      <c r="S9" s="23" t="s">
        <v>1131</v>
      </c>
      <c r="T9" s="23">
        <v>160</v>
      </c>
      <c r="U9" s="23" t="s">
        <v>673</v>
      </c>
      <c r="V9" s="24" t="s">
        <v>1134</v>
      </c>
    </row>
    <row r="10" spans="1:22" x14ac:dyDescent="0.3">
      <c r="A10" s="17">
        <v>9</v>
      </c>
      <c r="B10" s="23" t="s">
        <v>1139</v>
      </c>
      <c r="C10" s="23" t="s">
        <v>1142</v>
      </c>
      <c r="D10" s="7">
        <v>3.3</v>
      </c>
      <c r="E10" s="23" t="s">
        <v>1105</v>
      </c>
      <c r="F10" s="7">
        <v>50</v>
      </c>
      <c r="G10" s="6" t="s">
        <v>1105</v>
      </c>
      <c r="H10" s="23" t="s">
        <v>1129</v>
      </c>
      <c r="I10" s="23" t="s">
        <v>13</v>
      </c>
      <c r="J10" s="7">
        <v>50000</v>
      </c>
      <c r="K10" s="23" t="s">
        <v>753</v>
      </c>
      <c r="L10" s="23" t="s">
        <v>712</v>
      </c>
      <c r="M10" s="23" t="s">
        <v>13</v>
      </c>
      <c r="N10" s="23" t="s">
        <v>13</v>
      </c>
      <c r="O10" s="23" t="s">
        <v>20</v>
      </c>
      <c r="P10" s="23">
        <v>518.37</v>
      </c>
      <c r="Q10" s="23" t="s">
        <v>582</v>
      </c>
      <c r="R10" s="23">
        <v>427.65</v>
      </c>
      <c r="S10" s="23" t="s">
        <v>1131</v>
      </c>
      <c r="T10" s="23">
        <v>160</v>
      </c>
      <c r="U10" s="23" t="s">
        <v>673</v>
      </c>
      <c r="V10" s="24" t="s">
        <v>1134</v>
      </c>
    </row>
    <row r="11" spans="1:22" x14ac:dyDescent="0.3">
      <c r="A11" s="17">
        <v>10</v>
      </c>
      <c r="B11" s="23" t="s">
        <v>1139</v>
      </c>
      <c r="C11" s="23" t="s">
        <v>1143</v>
      </c>
      <c r="D11" s="7">
        <v>3.5</v>
      </c>
      <c r="E11" s="23" t="s">
        <v>1105</v>
      </c>
      <c r="F11" s="7">
        <v>54</v>
      </c>
      <c r="G11" s="6" t="s">
        <v>1105</v>
      </c>
      <c r="H11" s="23" t="s">
        <v>1129</v>
      </c>
      <c r="I11" s="23" t="s">
        <v>13</v>
      </c>
      <c r="J11" s="7">
        <v>68750</v>
      </c>
      <c r="K11" s="23" t="s">
        <v>753</v>
      </c>
      <c r="L11" s="23" t="s">
        <v>712</v>
      </c>
      <c r="M11" s="23" t="s">
        <v>13</v>
      </c>
      <c r="N11" s="23" t="s">
        <v>13</v>
      </c>
      <c r="O11" s="23" t="s">
        <v>20</v>
      </c>
      <c r="P11" s="23">
        <v>593.77</v>
      </c>
      <c r="Q11" s="23" t="s">
        <v>582</v>
      </c>
      <c r="R11" s="23">
        <v>519.54999999999995</v>
      </c>
      <c r="S11" s="23" t="s">
        <v>1131</v>
      </c>
      <c r="T11" s="23">
        <v>220</v>
      </c>
      <c r="U11" s="23" t="s">
        <v>673</v>
      </c>
      <c r="V11" s="24" t="s">
        <v>1134</v>
      </c>
    </row>
    <row r="12" spans="1:22" x14ac:dyDescent="0.3">
      <c r="A12" s="17">
        <v>11</v>
      </c>
      <c r="B12" s="23" t="s">
        <v>1139</v>
      </c>
      <c r="C12" s="23" t="s">
        <v>1144</v>
      </c>
      <c r="D12" s="7">
        <v>4</v>
      </c>
      <c r="E12" s="23" t="s">
        <v>1105</v>
      </c>
      <c r="F12" s="7">
        <v>60</v>
      </c>
      <c r="G12" s="6" t="s">
        <v>1105</v>
      </c>
      <c r="H12" s="23" t="s">
        <v>1129</v>
      </c>
      <c r="I12" s="23" t="s">
        <v>13</v>
      </c>
      <c r="J12" s="7">
        <v>104166.67</v>
      </c>
      <c r="K12" s="23" t="s">
        <v>753</v>
      </c>
      <c r="L12" s="23" t="s">
        <v>712</v>
      </c>
      <c r="M12" s="23" t="s">
        <v>13</v>
      </c>
      <c r="N12" s="23" t="s">
        <v>13</v>
      </c>
      <c r="O12" s="23" t="s">
        <v>20</v>
      </c>
      <c r="P12" s="23">
        <v>753.99</v>
      </c>
      <c r="Q12" s="23" t="s">
        <v>582</v>
      </c>
      <c r="R12" s="23">
        <v>753.99</v>
      </c>
      <c r="S12" s="23" t="s">
        <v>1131</v>
      </c>
      <c r="T12" s="23">
        <v>315</v>
      </c>
      <c r="U12" s="23" t="s">
        <v>673</v>
      </c>
      <c r="V12" s="24" t="s">
        <v>1134</v>
      </c>
    </row>
    <row r="13" spans="1:22" x14ac:dyDescent="0.3">
      <c r="A13" s="17">
        <v>12</v>
      </c>
      <c r="B13" s="23" t="s">
        <v>1139</v>
      </c>
      <c r="C13" s="23" t="s">
        <v>1145</v>
      </c>
      <c r="D13" s="7">
        <v>4.3</v>
      </c>
      <c r="E13" s="23" t="s">
        <v>1105</v>
      </c>
      <c r="F13" s="7">
        <v>64</v>
      </c>
      <c r="G13" s="6" t="s">
        <v>1105</v>
      </c>
      <c r="H13" s="23" t="s">
        <v>1129</v>
      </c>
      <c r="I13" s="23" t="s">
        <v>13</v>
      </c>
      <c r="J13" s="7">
        <v>145833.32999999999</v>
      </c>
      <c r="K13" s="23" t="s">
        <v>753</v>
      </c>
      <c r="L13" s="23" t="s">
        <v>712</v>
      </c>
      <c r="M13" s="23" t="s">
        <v>13</v>
      </c>
      <c r="N13" s="23" t="s">
        <v>13</v>
      </c>
      <c r="O13" s="23" t="s">
        <v>20</v>
      </c>
      <c r="P13" s="23">
        <v>864.56999999999994</v>
      </c>
      <c r="Q13" s="23" t="s">
        <v>582</v>
      </c>
      <c r="R13" s="23">
        <v>929.41</v>
      </c>
      <c r="S13" s="23" t="s">
        <v>1131</v>
      </c>
      <c r="T13" s="23">
        <v>400</v>
      </c>
      <c r="U13" s="23" t="s">
        <v>673</v>
      </c>
      <c r="V13" s="24" t="s">
        <v>1134</v>
      </c>
    </row>
    <row r="14" spans="1:22" x14ac:dyDescent="0.3">
      <c r="A14" s="17">
        <v>13</v>
      </c>
      <c r="B14" s="23" t="s">
        <v>1139</v>
      </c>
      <c r="C14" s="23" t="s">
        <v>1146</v>
      </c>
      <c r="D14" s="7">
        <v>4.8</v>
      </c>
      <c r="E14" s="23" t="s">
        <v>1105</v>
      </c>
      <c r="F14" s="7">
        <v>74</v>
      </c>
      <c r="G14" s="6" t="s">
        <v>1105</v>
      </c>
      <c r="H14" s="23" t="s">
        <v>1129</v>
      </c>
      <c r="I14" s="23" t="s">
        <v>13</v>
      </c>
      <c r="J14" s="7">
        <v>208333.33</v>
      </c>
      <c r="K14" s="23" t="s">
        <v>753</v>
      </c>
      <c r="L14" s="23" t="s">
        <v>712</v>
      </c>
      <c r="M14" s="23" t="s">
        <v>13</v>
      </c>
      <c r="N14" s="23" t="s">
        <v>13</v>
      </c>
      <c r="O14" s="23" t="s">
        <v>20</v>
      </c>
      <c r="P14" s="23">
        <v>1115.9000000000001</v>
      </c>
      <c r="Q14" s="23" t="s">
        <v>582</v>
      </c>
      <c r="R14" s="23">
        <v>1339.08</v>
      </c>
      <c r="S14" s="23" t="s">
        <v>1131</v>
      </c>
      <c r="T14" s="23">
        <v>630</v>
      </c>
      <c r="U14" s="23" t="s">
        <v>673</v>
      </c>
      <c r="V14" s="24" t="s">
        <v>1134</v>
      </c>
    </row>
    <row r="15" spans="1:22" x14ac:dyDescent="0.3">
      <c r="A15" s="17">
        <v>14</v>
      </c>
      <c r="B15" s="23" t="s">
        <v>1139</v>
      </c>
      <c r="C15" s="23" t="s">
        <v>1147</v>
      </c>
      <c r="D15" s="7">
        <v>5</v>
      </c>
      <c r="E15" s="23" t="s">
        <v>1105</v>
      </c>
      <c r="F15" s="7">
        <v>74</v>
      </c>
      <c r="G15" s="6" t="s">
        <v>1105</v>
      </c>
      <c r="H15" s="23" t="s">
        <v>1129</v>
      </c>
      <c r="I15" s="23" t="s">
        <v>13</v>
      </c>
      <c r="J15" s="7">
        <v>250000</v>
      </c>
      <c r="K15" s="23" t="s">
        <v>753</v>
      </c>
      <c r="L15" s="23" t="s">
        <v>712</v>
      </c>
      <c r="M15" s="23" t="s">
        <v>13</v>
      </c>
      <c r="N15" s="23" t="s">
        <v>13</v>
      </c>
      <c r="O15" s="23" t="s">
        <v>20</v>
      </c>
      <c r="P15" s="23">
        <v>1162.3900000000001</v>
      </c>
      <c r="Q15" s="23" t="s">
        <v>582</v>
      </c>
      <c r="R15" s="23">
        <v>1452.99</v>
      </c>
      <c r="S15" s="23" t="s">
        <v>1131</v>
      </c>
      <c r="T15" s="23">
        <v>710</v>
      </c>
      <c r="U15" s="23" t="s">
        <v>673</v>
      </c>
      <c r="V15" s="24" t="s">
        <v>1134</v>
      </c>
    </row>
    <row r="16" spans="1:22" x14ac:dyDescent="0.3">
      <c r="A16" s="17">
        <v>15</v>
      </c>
      <c r="B16" s="23" t="s">
        <v>1139</v>
      </c>
      <c r="C16" s="23" t="s">
        <v>1148</v>
      </c>
      <c r="D16" s="7">
        <v>5.6</v>
      </c>
      <c r="E16" s="23" t="s">
        <v>1105</v>
      </c>
      <c r="F16" s="7">
        <v>87</v>
      </c>
      <c r="G16" s="6" t="s">
        <v>1105</v>
      </c>
      <c r="H16" s="23" t="s">
        <v>1129</v>
      </c>
      <c r="I16" s="23" t="s">
        <v>13</v>
      </c>
      <c r="J16" s="7">
        <v>333333.33</v>
      </c>
      <c r="K16" s="23" t="s">
        <v>753</v>
      </c>
      <c r="L16" s="23" t="s">
        <v>712</v>
      </c>
      <c r="M16" s="23" t="s">
        <v>13</v>
      </c>
      <c r="N16" s="23" t="s">
        <v>13</v>
      </c>
      <c r="O16" s="23" t="s">
        <v>20</v>
      </c>
      <c r="P16" s="23">
        <v>1530.59</v>
      </c>
      <c r="Q16" s="23" t="s">
        <v>582</v>
      </c>
      <c r="R16" s="23">
        <v>2142.8200000000002</v>
      </c>
      <c r="S16" s="23" t="s">
        <v>1131</v>
      </c>
      <c r="T16" s="23">
        <v>800</v>
      </c>
      <c r="U16" s="23" t="s">
        <v>673</v>
      </c>
      <c r="V16" s="24" t="s">
        <v>1134</v>
      </c>
    </row>
    <row r="17" spans="1:22" x14ac:dyDescent="0.3">
      <c r="A17" s="17">
        <v>16</v>
      </c>
      <c r="B17" s="23" t="s">
        <v>1139</v>
      </c>
      <c r="C17" s="23" t="s">
        <v>1149</v>
      </c>
      <c r="D17" s="7">
        <v>6</v>
      </c>
      <c r="E17" s="23" t="s">
        <v>1105</v>
      </c>
      <c r="F17" s="7">
        <v>95</v>
      </c>
      <c r="G17" s="6" t="s">
        <v>1105</v>
      </c>
      <c r="H17" s="23" t="s">
        <v>1129</v>
      </c>
      <c r="I17" s="23" t="s">
        <v>13</v>
      </c>
      <c r="J17" s="7">
        <v>416666.67</v>
      </c>
      <c r="K17" s="23" t="s">
        <v>753</v>
      </c>
      <c r="L17" s="23" t="s">
        <v>712</v>
      </c>
      <c r="M17" s="23" t="s">
        <v>13</v>
      </c>
      <c r="N17" s="23" t="s">
        <v>13</v>
      </c>
      <c r="O17" s="23" t="s">
        <v>20</v>
      </c>
      <c r="P17" s="23">
        <v>1790.71</v>
      </c>
      <c r="Q17" s="23" t="s">
        <v>582</v>
      </c>
      <c r="R17" s="23">
        <v>2686.07</v>
      </c>
      <c r="S17" s="23" t="s">
        <v>1131</v>
      </c>
      <c r="T17" s="23">
        <v>1900</v>
      </c>
      <c r="U17" s="23" t="s">
        <v>673</v>
      </c>
      <c r="V17" s="24" t="s">
        <v>1134</v>
      </c>
    </row>
    <row r="18" spans="1:22" x14ac:dyDescent="0.3">
      <c r="A18" s="17">
        <v>17</v>
      </c>
      <c r="B18" s="23" t="s">
        <v>1150</v>
      </c>
      <c r="C18" s="23" t="s">
        <v>1151</v>
      </c>
      <c r="D18" s="7">
        <v>5.5</v>
      </c>
      <c r="E18" s="23" t="s">
        <v>1105</v>
      </c>
      <c r="F18" s="7">
        <v>115</v>
      </c>
      <c r="G18" s="6" t="s">
        <v>1105</v>
      </c>
      <c r="H18" s="23" t="s">
        <v>1129</v>
      </c>
      <c r="I18" s="23" t="s">
        <v>13</v>
      </c>
      <c r="J18" s="7">
        <v>3750</v>
      </c>
      <c r="K18" s="23" t="s">
        <v>753</v>
      </c>
      <c r="L18" s="23" t="s">
        <v>712</v>
      </c>
      <c r="M18" s="23" t="s">
        <v>13</v>
      </c>
      <c r="N18" s="23" t="s">
        <v>13</v>
      </c>
      <c r="O18" s="23" t="s">
        <v>20</v>
      </c>
      <c r="P18" s="23">
        <v>1987.06</v>
      </c>
      <c r="Q18" s="23" t="s">
        <v>582</v>
      </c>
      <c r="R18" s="23">
        <v>2732.21</v>
      </c>
      <c r="S18" s="23" t="s">
        <v>1131</v>
      </c>
      <c r="T18" s="23">
        <v>630</v>
      </c>
      <c r="U18" s="23" t="s">
        <v>673</v>
      </c>
      <c r="V18" s="24" t="s">
        <v>1134</v>
      </c>
    </row>
    <row r="19" spans="1:22" x14ac:dyDescent="0.3">
      <c r="A19" s="17">
        <v>18</v>
      </c>
      <c r="B19" s="23" t="s">
        <v>1150</v>
      </c>
      <c r="C19" s="23" t="s">
        <v>1152</v>
      </c>
      <c r="D19" s="7">
        <v>5.2</v>
      </c>
      <c r="E19" s="23" t="s">
        <v>1105</v>
      </c>
      <c r="F19" s="7">
        <v>118</v>
      </c>
      <c r="G19" s="6" t="s">
        <v>1105</v>
      </c>
      <c r="H19" s="23" t="s">
        <v>1129</v>
      </c>
      <c r="I19" s="23" t="s">
        <v>13</v>
      </c>
      <c r="J19" s="7">
        <v>3541.67</v>
      </c>
      <c r="K19" s="23" t="s">
        <v>753</v>
      </c>
      <c r="L19" s="23" t="s">
        <v>712</v>
      </c>
      <c r="M19" s="23" t="s">
        <v>13</v>
      </c>
      <c r="N19" s="23" t="s">
        <v>13</v>
      </c>
      <c r="O19" s="23" t="s">
        <v>20</v>
      </c>
      <c r="P19" s="23">
        <v>1927.69</v>
      </c>
      <c r="Q19" s="23" t="s">
        <v>582</v>
      </c>
      <c r="R19" s="23">
        <v>2505.9900000000002</v>
      </c>
      <c r="S19" s="23" t="s">
        <v>1131</v>
      </c>
      <c r="T19" s="23">
        <v>710</v>
      </c>
      <c r="U19" s="23" t="s">
        <v>673</v>
      </c>
      <c r="V19" s="24" t="s">
        <v>1134</v>
      </c>
    </row>
    <row r="20" spans="1:22" x14ac:dyDescent="0.3">
      <c r="A20" s="17">
        <v>19</v>
      </c>
      <c r="B20" s="23" t="s">
        <v>1150</v>
      </c>
      <c r="C20" s="23" t="s">
        <v>1153</v>
      </c>
      <c r="D20" s="7">
        <v>4.8499999999999996</v>
      </c>
      <c r="E20" s="23" t="s">
        <v>1105</v>
      </c>
      <c r="F20" s="7">
        <v>75</v>
      </c>
      <c r="G20" s="6" t="s">
        <v>1105</v>
      </c>
      <c r="H20" s="23" t="s">
        <v>1129</v>
      </c>
      <c r="I20" s="23" t="s">
        <v>13</v>
      </c>
      <c r="J20" s="7">
        <v>2260.42</v>
      </c>
      <c r="K20" s="23" t="s">
        <v>753</v>
      </c>
      <c r="L20" s="23" t="s">
        <v>712</v>
      </c>
      <c r="M20" s="23" t="s">
        <v>13</v>
      </c>
      <c r="N20" s="23" t="s">
        <v>13</v>
      </c>
      <c r="O20" s="23" t="s">
        <v>20</v>
      </c>
      <c r="P20" s="23">
        <v>1142.76</v>
      </c>
      <c r="Q20" s="23" t="s">
        <v>582</v>
      </c>
      <c r="R20" s="23">
        <v>1385.59</v>
      </c>
      <c r="S20" s="23" t="s">
        <v>1131</v>
      </c>
      <c r="T20" s="23">
        <v>400</v>
      </c>
      <c r="U20" s="23" t="s">
        <v>673</v>
      </c>
      <c r="V20" s="24" t="s">
        <v>1134</v>
      </c>
    </row>
    <row r="21" spans="1:22" x14ac:dyDescent="0.3">
      <c r="A21" s="17">
        <v>20</v>
      </c>
      <c r="B21" s="23" t="s">
        <v>1150</v>
      </c>
      <c r="C21" s="23" t="s">
        <v>1154</v>
      </c>
      <c r="D21" s="7">
        <v>4.8</v>
      </c>
      <c r="E21" s="23" t="s">
        <v>1105</v>
      </c>
      <c r="F21" s="7">
        <v>110</v>
      </c>
      <c r="G21" s="6" t="s">
        <v>1105</v>
      </c>
      <c r="H21" s="23" t="s">
        <v>1129</v>
      </c>
      <c r="I21" s="23" t="s">
        <v>13</v>
      </c>
      <c r="J21" s="7">
        <v>2187.5</v>
      </c>
      <c r="K21" s="23" t="s">
        <v>753</v>
      </c>
      <c r="L21" s="23" t="s">
        <v>712</v>
      </c>
      <c r="M21" s="23" t="s">
        <v>13</v>
      </c>
      <c r="N21" s="23" t="s">
        <v>13</v>
      </c>
      <c r="O21" s="23" t="s">
        <v>20</v>
      </c>
      <c r="P21" s="23">
        <v>1658.77</v>
      </c>
      <c r="Q21" s="23" t="s">
        <v>582</v>
      </c>
      <c r="R21" s="23">
        <v>1990.52</v>
      </c>
      <c r="S21" s="23" t="s">
        <v>1131</v>
      </c>
      <c r="T21" s="23">
        <v>710</v>
      </c>
      <c r="U21" s="23" t="s">
        <v>673</v>
      </c>
      <c r="V21" s="24" t="s">
        <v>1134</v>
      </c>
    </row>
    <row r="22" spans="1:22" x14ac:dyDescent="0.3">
      <c r="A22" s="17">
        <v>21</v>
      </c>
      <c r="B22" s="23" t="s">
        <v>1150</v>
      </c>
      <c r="C22" s="23" t="s">
        <v>1155</v>
      </c>
      <c r="D22" s="7">
        <v>4.5999999999999996</v>
      </c>
      <c r="E22" s="23" t="s">
        <v>1105</v>
      </c>
      <c r="F22" s="7">
        <v>100</v>
      </c>
      <c r="G22" s="6" t="s">
        <v>1105</v>
      </c>
      <c r="H22" s="23" t="s">
        <v>1129</v>
      </c>
      <c r="I22" s="23" t="s">
        <v>13</v>
      </c>
      <c r="J22" s="7">
        <v>1875</v>
      </c>
      <c r="K22" s="23" t="s">
        <v>753</v>
      </c>
      <c r="L22" s="23" t="s">
        <v>712</v>
      </c>
      <c r="M22" s="23" t="s">
        <v>13</v>
      </c>
      <c r="N22" s="23" t="s">
        <v>13</v>
      </c>
      <c r="O22" s="23" t="s">
        <v>20</v>
      </c>
      <c r="P22" s="23">
        <v>1445.14</v>
      </c>
      <c r="Q22" s="23" t="s">
        <v>582</v>
      </c>
      <c r="R22" s="23">
        <v>1661.91</v>
      </c>
      <c r="S22" s="23" t="s">
        <v>1131</v>
      </c>
      <c r="T22" s="23">
        <v>500</v>
      </c>
      <c r="U22" s="23" t="s">
        <v>673</v>
      </c>
      <c r="V22" s="24" t="s">
        <v>1134</v>
      </c>
    </row>
    <row r="23" spans="1:22" x14ac:dyDescent="0.3">
      <c r="A23" s="17">
        <v>22</v>
      </c>
      <c r="B23" s="23" t="s">
        <v>1150</v>
      </c>
      <c r="C23" s="23" t="s">
        <v>1156</v>
      </c>
      <c r="D23" s="7">
        <v>4.4000000000000004</v>
      </c>
      <c r="E23" s="23" t="s">
        <v>1105</v>
      </c>
      <c r="F23" s="7">
        <v>100</v>
      </c>
      <c r="G23" s="6" t="s">
        <v>1105</v>
      </c>
      <c r="H23" s="23" t="s">
        <v>1129</v>
      </c>
      <c r="I23" s="23" t="s">
        <v>13</v>
      </c>
      <c r="J23" s="7">
        <v>1770.83</v>
      </c>
      <c r="K23" s="23" t="s">
        <v>753</v>
      </c>
      <c r="L23" s="23" t="s">
        <v>712</v>
      </c>
      <c r="M23" s="23" t="s">
        <v>13</v>
      </c>
      <c r="N23" s="23" t="s">
        <v>13</v>
      </c>
      <c r="O23" s="23" t="s">
        <v>20</v>
      </c>
      <c r="P23" s="23">
        <v>1382.31</v>
      </c>
      <c r="Q23" s="23" t="s">
        <v>582</v>
      </c>
      <c r="R23" s="23">
        <v>1520.54</v>
      </c>
      <c r="S23" s="23" t="s">
        <v>1131</v>
      </c>
      <c r="T23" s="23">
        <v>400</v>
      </c>
      <c r="U23" s="23" t="s">
        <v>673</v>
      </c>
      <c r="V23" s="24" t="s">
        <v>1134</v>
      </c>
    </row>
    <row r="24" spans="1:22" x14ac:dyDescent="0.3">
      <c r="A24" s="17">
        <v>23</v>
      </c>
      <c r="B24" s="23" t="s">
        <v>1150</v>
      </c>
      <c r="C24" s="23" t="s">
        <v>1157</v>
      </c>
      <c r="D24" s="7">
        <v>4</v>
      </c>
      <c r="E24" s="23" t="s">
        <v>1105</v>
      </c>
      <c r="F24" s="7">
        <v>90</v>
      </c>
      <c r="G24" s="6" t="s">
        <v>1105</v>
      </c>
      <c r="H24" s="23" t="s">
        <v>1129</v>
      </c>
      <c r="I24" s="23" t="s">
        <v>13</v>
      </c>
      <c r="J24" s="7">
        <v>1500</v>
      </c>
      <c r="K24" s="23" t="s">
        <v>753</v>
      </c>
      <c r="L24" s="23" t="s">
        <v>712</v>
      </c>
      <c r="M24" s="23" t="s">
        <v>13</v>
      </c>
      <c r="N24" s="23" t="s">
        <v>13</v>
      </c>
      <c r="O24" s="23" t="s">
        <v>20</v>
      </c>
      <c r="P24" s="23">
        <v>1130.98</v>
      </c>
      <c r="Q24" s="23" t="s">
        <v>582</v>
      </c>
      <c r="R24" s="23">
        <v>1130.98</v>
      </c>
      <c r="S24" s="23" t="s">
        <v>1131</v>
      </c>
      <c r="T24" s="23">
        <v>320</v>
      </c>
      <c r="U24" s="23" t="s">
        <v>673</v>
      </c>
      <c r="V24" s="24" t="s">
        <v>1134</v>
      </c>
    </row>
    <row r="25" spans="1:22" x14ac:dyDescent="0.3">
      <c r="A25" s="17">
        <v>24</v>
      </c>
      <c r="B25" s="23" t="s">
        <v>1150</v>
      </c>
      <c r="C25" s="23" t="s">
        <v>1158</v>
      </c>
      <c r="D25" s="7">
        <v>3.8</v>
      </c>
      <c r="E25" s="23" t="s">
        <v>1105</v>
      </c>
      <c r="F25" s="7">
        <v>85</v>
      </c>
      <c r="G25" s="6" t="s">
        <v>1105</v>
      </c>
      <c r="H25" s="23" t="s">
        <v>1129</v>
      </c>
      <c r="I25" s="23" t="s">
        <v>13</v>
      </c>
      <c r="J25" s="7">
        <v>1020.83</v>
      </c>
      <c r="K25" s="23" t="s">
        <v>753</v>
      </c>
      <c r="L25" s="23" t="s">
        <v>712</v>
      </c>
      <c r="M25" s="23" t="s">
        <v>13</v>
      </c>
      <c r="N25" s="23" t="s">
        <v>13</v>
      </c>
      <c r="O25" s="23" t="s">
        <v>20</v>
      </c>
      <c r="P25" s="23">
        <v>1014.74</v>
      </c>
      <c r="Q25" s="23" t="s">
        <v>582</v>
      </c>
      <c r="R25" s="23">
        <v>964</v>
      </c>
      <c r="S25" s="23" t="s">
        <v>1131</v>
      </c>
      <c r="T25" s="23">
        <v>264</v>
      </c>
      <c r="U25" s="23" t="s">
        <v>673</v>
      </c>
      <c r="V25" s="24" t="s">
        <v>1134</v>
      </c>
    </row>
    <row r="26" spans="1:22" x14ac:dyDescent="0.3">
      <c r="A26" s="17">
        <v>25</v>
      </c>
      <c r="B26" s="23" t="s">
        <v>1159</v>
      </c>
      <c r="C26" s="23" t="s">
        <v>1160</v>
      </c>
      <c r="D26" s="7">
        <v>2.5</v>
      </c>
      <c r="E26" s="23" t="s">
        <v>1105</v>
      </c>
      <c r="F26" s="7">
        <v>40</v>
      </c>
      <c r="G26" s="6" t="s">
        <v>1105</v>
      </c>
      <c r="H26" s="23" t="s">
        <v>1129</v>
      </c>
      <c r="I26" s="23" t="s">
        <v>13</v>
      </c>
      <c r="J26" s="7">
        <v>7500</v>
      </c>
      <c r="K26" s="23" t="s">
        <v>753</v>
      </c>
      <c r="L26" s="23" t="s">
        <v>712</v>
      </c>
      <c r="M26" s="23" t="s">
        <v>13</v>
      </c>
      <c r="N26" s="23" t="s">
        <v>13</v>
      </c>
      <c r="O26" s="23" t="s">
        <v>20</v>
      </c>
      <c r="P26" s="23">
        <v>314.15999999999997</v>
      </c>
      <c r="Q26" s="23" t="s">
        <v>582</v>
      </c>
      <c r="R26" s="23">
        <v>196.35</v>
      </c>
      <c r="S26" s="23" t="s">
        <v>1131</v>
      </c>
      <c r="T26" s="23">
        <v>55</v>
      </c>
      <c r="U26" s="23" t="s">
        <v>673</v>
      </c>
      <c r="V26" s="24" t="s">
        <v>1134</v>
      </c>
    </row>
    <row r="27" spans="1:22" x14ac:dyDescent="0.3">
      <c r="A27" s="17">
        <v>26</v>
      </c>
      <c r="B27" s="23" t="s">
        <v>1159</v>
      </c>
      <c r="C27" s="23" t="s">
        <v>1161</v>
      </c>
      <c r="D27" s="7">
        <v>2.5</v>
      </c>
      <c r="E27" s="23" t="s">
        <v>1105</v>
      </c>
      <c r="F27" s="7">
        <v>50</v>
      </c>
      <c r="G27" s="6" t="s">
        <v>1105</v>
      </c>
      <c r="H27" s="23" t="s">
        <v>1129</v>
      </c>
      <c r="I27" s="23" t="s">
        <v>13</v>
      </c>
      <c r="J27" s="7">
        <v>8333.34</v>
      </c>
      <c r="K27" s="23" t="s">
        <v>753</v>
      </c>
      <c r="L27" s="23" t="s">
        <v>712</v>
      </c>
      <c r="M27" s="23" t="s">
        <v>13</v>
      </c>
      <c r="N27" s="23" t="s">
        <v>13</v>
      </c>
      <c r="O27" s="23" t="s">
        <v>20</v>
      </c>
      <c r="P27" s="23">
        <v>392.7</v>
      </c>
      <c r="Q27" s="23" t="s">
        <v>582</v>
      </c>
      <c r="R27" s="23">
        <v>245.44</v>
      </c>
      <c r="S27" s="23" t="s">
        <v>1131</v>
      </c>
      <c r="T27" s="23">
        <v>55</v>
      </c>
      <c r="U27" s="23" t="s">
        <v>673</v>
      </c>
      <c r="V27" s="24" t="s">
        <v>1134</v>
      </c>
    </row>
    <row r="28" spans="1:22" x14ac:dyDescent="0.3">
      <c r="A28" s="17">
        <v>27</v>
      </c>
      <c r="B28" s="23" t="s">
        <v>1159</v>
      </c>
      <c r="C28" s="23" t="s">
        <v>1162</v>
      </c>
      <c r="D28" s="7">
        <v>2.5</v>
      </c>
      <c r="E28" s="23" t="s">
        <v>1105</v>
      </c>
      <c r="F28" s="7">
        <v>54</v>
      </c>
      <c r="G28" s="6" t="s">
        <v>1105</v>
      </c>
      <c r="H28" s="23" t="s">
        <v>1129</v>
      </c>
      <c r="I28" s="23" t="s">
        <v>13</v>
      </c>
      <c r="J28" s="7">
        <v>11666.67</v>
      </c>
      <c r="K28" s="23" t="s">
        <v>753</v>
      </c>
      <c r="L28" s="23" t="s">
        <v>712</v>
      </c>
      <c r="M28" s="23" t="s">
        <v>13</v>
      </c>
      <c r="N28" s="23" t="s">
        <v>13</v>
      </c>
      <c r="O28" s="23" t="s">
        <v>20</v>
      </c>
      <c r="P28" s="23">
        <v>424.12</v>
      </c>
      <c r="Q28" s="23" t="s">
        <v>582</v>
      </c>
      <c r="R28" s="23">
        <v>265.08</v>
      </c>
      <c r="S28" s="23" t="s">
        <v>1131</v>
      </c>
      <c r="T28" s="23">
        <v>55</v>
      </c>
      <c r="U28" s="23" t="s">
        <v>673</v>
      </c>
      <c r="V28" s="24" t="s">
        <v>1134</v>
      </c>
    </row>
    <row r="29" spans="1:22" x14ac:dyDescent="0.3">
      <c r="A29" s="17">
        <v>28</v>
      </c>
      <c r="B29" s="23" t="s">
        <v>1159</v>
      </c>
      <c r="C29" s="23" t="s">
        <v>1163</v>
      </c>
      <c r="D29" s="7">
        <v>2.7</v>
      </c>
      <c r="E29" s="23" t="s">
        <v>1105</v>
      </c>
      <c r="F29" s="7">
        <v>42</v>
      </c>
      <c r="G29" s="6" t="s">
        <v>1105</v>
      </c>
      <c r="H29" s="23" t="s">
        <v>1129</v>
      </c>
      <c r="I29" s="23" t="s">
        <v>13</v>
      </c>
      <c r="J29" s="7">
        <v>13333.34</v>
      </c>
      <c r="K29" s="23" t="s">
        <v>753</v>
      </c>
      <c r="L29" s="23" t="s">
        <v>712</v>
      </c>
      <c r="M29" s="23" t="s">
        <v>13</v>
      </c>
      <c r="N29" s="23" t="s">
        <v>13</v>
      </c>
      <c r="O29" s="23" t="s">
        <v>20</v>
      </c>
      <c r="P29" s="23">
        <v>356.26</v>
      </c>
      <c r="Q29" s="23" t="s">
        <v>582</v>
      </c>
      <c r="R29" s="23">
        <v>240.48</v>
      </c>
      <c r="S29" s="23" t="s">
        <v>1131</v>
      </c>
      <c r="T29" s="23">
        <v>55</v>
      </c>
      <c r="U29" s="23" t="s">
        <v>673</v>
      </c>
      <c r="V29" s="24" t="s">
        <v>1134</v>
      </c>
    </row>
    <row r="30" spans="1:22" x14ac:dyDescent="0.3">
      <c r="A30" s="17">
        <v>29</v>
      </c>
      <c r="B30" s="23" t="s">
        <v>1159</v>
      </c>
      <c r="C30" s="23" t="s">
        <v>1164</v>
      </c>
      <c r="D30" s="7">
        <v>2.8</v>
      </c>
      <c r="E30" s="23" t="s">
        <v>1105</v>
      </c>
      <c r="F30" s="7">
        <v>44</v>
      </c>
      <c r="G30" s="6" t="s">
        <v>1105</v>
      </c>
      <c r="H30" s="23" t="s">
        <v>1129</v>
      </c>
      <c r="I30" s="23" t="s">
        <v>13</v>
      </c>
      <c r="J30" s="7">
        <v>18750</v>
      </c>
      <c r="K30" s="23" t="s">
        <v>753</v>
      </c>
      <c r="L30" s="23" t="s">
        <v>712</v>
      </c>
      <c r="M30" s="23" t="s">
        <v>13</v>
      </c>
      <c r="N30" s="23" t="s">
        <v>13</v>
      </c>
      <c r="O30" s="23" t="s">
        <v>20</v>
      </c>
      <c r="P30" s="23">
        <v>387.05</v>
      </c>
      <c r="Q30" s="23" t="s">
        <v>582</v>
      </c>
      <c r="R30" s="23">
        <v>270.94</v>
      </c>
      <c r="S30" s="23" t="s">
        <v>1131</v>
      </c>
      <c r="T30" s="23">
        <v>55</v>
      </c>
      <c r="U30" s="23" t="s">
        <v>673</v>
      </c>
      <c r="V30" s="24" t="s">
        <v>1134</v>
      </c>
    </row>
    <row r="31" spans="1:22" x14ac:dyDescent="0.3">
      <c r="A31" s="17">
        <v>30</v>
      </c>
      <c r="B31" s="23" t="s">
        <v>1159</v>
      </c>
      <c r="C31" s="23" t="s">
        <v>1165</v>
      </c>
      <c r="D31" s="7">
        <v>3</v>
      </c>
      <c r="E31" s="23" t="s">
        <v>1105</v>
      </c>
      <c r="F31" s="7">
        <v>45</v>
      </c>
      <c r="G31" s="6" t="s">
        <v>1105</v>
      </c>
      <c r="H31" s="23" t="s">
        <v>1129</v>
      </c>
      <c r="I31" s="23" t="s">
        <v>13</v>
      </c>
      <c r="J31" s="7">
        <v>20833.34</v>
      </c>
      <c r="K31" s="23" t="s">
        <v>753</v>
      </c>
      <c r="L31" s="23" t="s">
        <v>712</v>
      </c>
      <c r="M31" s="23" t="s">
        <v>13</v>
      </c>
      <c r="N31" s="23" t="s">
        <v>13</v>
      </c>
      <c r="O31" s="23" t="s">
        <v>20</v>
      </c>
      <c r="P31" s="23">
        <v>424.12</v>
      </c>
      <c r="Q31" s="23" t="s">
        <v>582</v>
      </c>
      <c r="R31" s="23">
        <v>318.08999999999997</v>
      </c>
      <c r="S31" s="23" t="s">
        <v>1131</v>
      </c>
      <c r="T31" s="23">
        <v>75</v>
      </c>
      <c r="U31" s="23" t="s">
        <v>673</v>
      </c>
      <c r="V31" s="24" t="s">
        <v>1134</v>
      </c>
    </row>
    <row r="32" spans="1:22" x14ac:dyDescent="0.3">
      <c r="A32" s="17">
        <v>31</v>
      </c>
      <c r="B32" s="23" t="s">
        <v>1159</v>
      </c>
      <c r="C32" s="23" t="s">
        <v>1166</v>
      </c>
      <c r="D32" s="7">
        <v>3</v>
      </c>
      <c r="E32" s="23" t="s">
        <v>1105</v>
      </c>
      <c r="F32" s="7">
        <v>60</v>
      </c>
      <c r="G32" s="6" t="s">
        <v>1105</v>
      </c>
      <c r="H32" s="23" t="s">
        <v>1129</v>
      </c>
      <c r="I32" s="23" t="s">
        <v>13</v>
      </c>
      <c r="J32" s="7">
        <v>33333.340000000004</v>
      </c>
      <c r="K32" s="23" t="s">
        <v>753</v>
      </c>
      <c r="L32" s="23" t="s">
        <v>712</v>
      </c>
      <c r="M32" s="23" t="s">
        <v>13</v>
      </c>
      <c r="N32" s="23" t="s">
        <v>13</v>
      </c>
      <c r="O32" s="23" t="s">
        <v>20</v>
      </c>
      <c r="P32" s="23">
        <v>565.49</v>
      </c>
      <c r="Q32" s="23" t="s">
        <v>582</v>
      </c>
      <c r="R32" s="23">
        <v>424.12</v>
      </c>
      <c r="S32" s="23" t="s">
        <v>1131</v>
      </c>
      <c r="T32" s="23">
        <v>110</v>
      </c>
      <c r="U32" s="23" t="s">
        <v>673</v>
      </c>
      <c r="V32" s="24" t="s">
        <v>1134</v>
      </c>
    </row>
    <row r="33" spans="1:22" x14ac:dyDescent="0.3">
      <c r="A33" s="17">
        <v>32</v>
      </c>
      <c r="B33" s="23" t="s">
        <v>1159</v>
      </c>
      <c r="C33" s="23" t="s">
        <v>1167</v>
      </c>
      <c r="D33" s="7">
        <v>3.2</v>
      </c>
      <c r="E33" s="23" t="s">
        <v>1105</v>
      </c>
      <c r="F33" s="7">
        <v>50</v>
      </c>
      <c r="G33" s="6" t="s">
        <v>1105</v>
      </c>
      <c r="H33" s="23" t="s">
        <v>1129</v>
      </c>
      <c r="I33" s="23" t="s">
        <v>13</v>
      </c>
      <c r="J33" s="7">
        <v>41666.670000000006</v>
      </c>
      <c r="K33" s="23" t="s">
        <v>753</v>
      </c>
      <c r="L33" s="23" t="s">
        <v>712</v>
      </c>
      <c r="M33" s="23" t="s">
        <v>13</v>
      </c>
      <c r="N33" s="23" t="s">
        <v>13</v>
      </c>
      <c r="O33" s="23" t="s">
        <v>20</v>
      </c>
      <c r="P33" s="23">
        <v>502.65999999999997</v>
      </c>
      <c r="Q33" s="23" t="s">
        <v>582</v>
      </c>
      <c r="R33" s="23">
        <v>402.13</v>
      </c>
      <c r="S33" s="23" t="s">
        <v>1131</v>
      </c>
      <c r="T33" s="23">
        <v>125</v>
      </c>
      <c r="U33" s="23" t="s">
        <v>673</v>
      </c>
      <c r="V33" s="24" t="s">
        <v>1134</v>
      </c>
    </row>
    <row r="34" spans="1:22" x14ac:dyDescent="0.3">
      <c r="A34" s="17">
        <v>33</v>
      </c>
      <c r="B34" s="23" t="s">
        <v>1159</v>
      </c>
      <c r="C34" s="23" t="s">
        <v>1168</v>
      </c>
      <c r="D34" s="7">
        <v>3.3</v>
      </c>
      <c r="E34" s="23" t="s">
        <v>1105</v>
      </c>
      <c r="F34" s="7">
        <v>52</v>
      </c>
      <c r="G34" s="6" t="s">
        <v>1105</v>
      </c>
      <c r="H34" s="23" t="s">
        <v>1129</v>
      </c>
      <c r="I34" s="23" t="s">
        <v>13</v>
      </c>
      <c r="J34" s="7">
        <v>54166.670000000006</v>
      </c>
      <c r="K34" s="23" t="s">
        <v>753</v>
      </c>
      <c r="L34" s="23" t="s">
        <v>712</v>
      </c>
      <c r="M34" s="23" t="s">
        <v>13</v>
      </c>
      <c r="N34" s="23" t="s">
        <v>13</v>
      </c>
      <c r="O34" s="23" t="s">
        <v>20</v>
      </c>
      <c r="P34" s="23">
        <v>539.1</v>
      </c>
      <c r="Q34" s="23" t="s">
        <v>582</v>
      </c>
      <c r="R34" s="23">
        <v>444.76</v>
      </c>
      <c r="S34" s="23" t="s">
        <v>1131</v>
      </c>
      <c r="T34" s="23">
        <v>125</v>
      </c>
      <c r="U34" s="23" t="s">
        <v>673</v>
      </c>
      <c r="V34" s="24" t="s">
        <v>1134</v>
      </c>
    </row>
    <row r="35" spans="1:22" x14ac:dyDescent="0.3">
      <c r="A35" s="17">
        <v>34</v>
      </c>
      <c r="B35" s="23" t="s">
        <v>1159</v>
      </c>
      <c r="C35" s="23" t="s">
        <v>1169</v>
      </c>
      <c r="D35" s="7">
        <v>3.6</v>
      </c>
      <c r="E35" s="23" t="s">
        <v>1105</v>
      </c>
      <c r="F35" s="7">
        <v>70</v>
      </c>
      <c r="G35" s="6" t="s">
        <v>1105</v>
      </c>
      <c r="H35" s="23" t="s">
        <v>1129</v>
      </c>
      <c r="I35" s="23" t="s">
        <v>13</v>
      </c>
      <c r="J35" s="7">
        <v>75000</v>
      </c>
      <c r="K35" s="23" t="s">
        <v>753</v>
      </c>
      <c r="L35" s="23" t="s">
        <v>712</v>
      </c>
      <c r="M35" s="23" t="s">
        <v>13</v>
      </c>
      <c r="N35" s="23" t="s">
        <v>13</v>
      </c>
      <c r="O35" s="23" t="s">
        <v>20</v>
      </c>
      <c r="P35" s="23">
        <v>791.68999999999994</v>
      </c>
      <c r="Q35" s="23" t="s">
        <v>582</v>
      </c>
      <c r="R35" s="23">
        <v>712.52</v>
      </c>
      <c r="S35" s="23" t="s">
        <v>1131</v>
      </c>
      <c r="T35" s="23">
        <v>125</v>
      </c>
      <c r="U35" s="23" t="s">
        <v>673</v>
      </c>
      <c r="V35" s="24" t="s">
        <v>1134</v>
      </c>
    </row>
    <row r="36" spans="1:22" x14ac:dyDescent="0.3">
      <c r="A36" s="17">
        <v>35</v>
      </c>
      <c r="B36" s="23" t="s">
        <v>1159</v>
      </c>
      <c r="C36" s="23" t="s">
        <v>1170</v>
      </c>
      <c r="D36" s="7">
        <v>4</v>
      </c>
      <c r="E36" s="23" t="s">
        <v>1105</v>
      </c>
      <c r="F36" s="7">
        <v>56</v>
      </c>
      <c r="G36" s="6" t="s">
        <v>1105</v>
      </c>
      <c r="H36" s="23" t="s">
        <v>1129</v>
      </c>
      <c r="I36" s="23" t="s">
        <v>13</v>
      </c>
      <c r="J36" s="7">
        <v>95833.34</v>
      </c>
      <c r="K36" s="23" t="s">
        <v>753</v>
      </c>
      <c r="L36" s="23" t="s">
        <v>712</v>
      </c>
      <c r="M36" s="23" t="s">
        <v>13</v>
      </c>
      <c r="N36" s="23" t="s">
        <v>13</v>
      </c>
      <c r="O36" s="23" t="s">
        <v>20</v>
      </c>
      <c r="P36" s="23">
        <v>703.72</v>
      </c>
      <c r="Q36" s="23" t="s">
        <v>582</v>
      </c>
      <c r="R36" s="23">
        <v>703.72</v>
      </c>
      <c r="S36" s="23" t="s">
        <v>1131</v>
      </c>
      <c r="T36" s="23">
        <v>315</v>
      </c>
      <c r="U36" s="23" t="s">
        <v>673</v>
      </c>
      <c r="V36" s="24" t="s">
        <v>1134</v>
      </c>
    </row>
    <row r="37" spans="1:22" x14ac:dyDescent="0.3">
      <c r="A37" s="17">
        <v>36</v>
      </c>
      <c r="B37" s="23" t="s">
        <v>1159</v>
      </c>
      <c r="C37" s="23" t="s">
        <v>1171</v>
      </c>
      <c r="D37" s="7">
        <v>4.2</v>
      </c>
      <c r="E37" s="23" t="s">
        <v>1105</v>
      </c>
      <c r="F37" s="7">
        <v>60</v>
      </c>
      <c r="G37" s="6" t="s">
        <v>1105</v>
      </c>
      <c r="H37" s="23" t="s">
        <v>1129</v>
      </c>
      <c r="I37" s="23" t="s">
        <v>13</v>
      </c>
      <c r="J37" s="7">
        <v>114583.34</v>
      </c>
      <c r="K37" s="23" t="s">
        <v>753</v>
      </c>
      <c r="L37" s="23" t="s">
        <v>712</v>
      </c>
      <c r="M37" s="23" t="s">
        <v>13</v>
      </c>
      <c r="N37" s="23" t="s">
        <v>13</v>
      </c>
      <c r="O37" s="23" t="s">
        <v>20</v>
      </c>
      <c r="P37" s="23">
        <v>791.68999999999994</v>
      </c>
      <c r="Q37" s="23" t="s">
        <v>582</v>
      </c>
      <c r="R37" s="23">
        <v>831.27</v>
      </c>
      <c r="S37" s="23" t="s">
        <v>1131</v>
      </c>
      <c r="T37" s="23">
        <v>375</v>
      </c>
      <c r="U37" s="23" t="s">
        <v>673</v>
      </c>
      <c r="V37" s="24" t="s">
        <v>1134</v>
      </c>
    </row>
    <row r="38" spans="1:22" x14ac:dyDescent="0.3">
      <c r="A38" s="17">
        <v>37</v>
      </c>
      <c r="B38" s="23" t="s">
        <v>1159</v>
      </c>
      <c r="C38" s="23" t="s">
        <v>1172</v>
      </c>
      <c r="D38" s="7">
        <v>4.3</v>
      </c>
      <c r="E38" s="23" t="s">
        <v>1105</v>
      </c>
      <c r="F38" s="7">
        <v>60</v>
      </c>
      <c r="G38" s="6" t="s">
        <v>1105</v>
      </c>
      <c r="H38" s="23" t="s">
        <v>1129</v>
      </c>
      <c r="I38" s="23" t="s">
        <v>13</v>
      </c>
      <c r="J38" s="7">
        <v>133333.34</v>
      </c>
      <c r="K38" s="23" t="s">
        <v>753</v>
      </c>
      <c r="L38" s="23" t="s">
        <v>712</v>
      </c>
      <c r="M38" s="23" t="s">
        <v>13</v>
      </c>
      <c r="N38" s="23" t="s">
        <v>13</v>
      </c>
      <c r="O38" s="23" t="s">
        <v>20</v>
      </c>
      <c r="P38" s="23">
        <v>810.54</v>
      </c>
      <c r="Q38" s="23" t="s">
        <v>582</v>
      </c>
      <c r="R38" s="23">
        <v>871.33</v>
      </c>
      <c r="S38" s="23" t="s">
        <v>1131</v>
      </c>
      <c r="T38" s="23">
        <v>375</v>
      </c>
      <c r="U38" s="23" t="s">
        <v>673</v>
      </c>
      <c r="V38" s="24" t="s">
        <v>1134</v>
      </c>
    </row>
    <row r="39" spans="1:22" x14ac:dyDescent="0.3">
      <c r="A39" s="17">
        <v>38</v>
      </c>
      <c r="B39" s="23" t="s">
        <v>1159</v>
      </c>
      <c r="C39" s="23" t="s">
        <v>1173</v>
      </c>
      <c r="D39" s="7">
        <v>4.5</v>
      </c>
      <c r="E39" s="23" t="s">
        <v>1105</v>
      </c>
      <c r="F39" s="7">
        <v>66</v>
      </c>
      <c r="G39" s="6" t="s">
        <v>1105</v>
      </c>
      <c r="H39" s="23" t="s">
        <v>1129</v>
      </c>
      <c r="I39" s="23" t="s">
        <v>13</v>
      </c>
      <c r="J39" s="7">
        <v>166666.67000000001</v>
      </c>
      <c r="K39" s="23" t="s">
        <v>753</v>
      </c>
      <c r="L39" s="23" t="s">
        <v>712</v>
      </c>
      <c r="M39" s="23" t="s">
        <v>13</v>
      </c>
      <c r="N39" s="23" t="s">
        <v>13</v>
      </c>
      <c r="O39" s="23" t="s">
        <v>20</v>
      </c>
      <c r="P39" s="23">
        <v>933.06</v>
      </c>
      <c r="Q39" s="23" t="s">
        <v>582</v>
      </c>
      <c r="R39" s="23">
        <v>1049.69</v>
      </c>
      <c r="S39" s="23" t="s">
        <v>1131</v>
      </c>
      <c r="T39" s="23">
        <v>560</v>
      </c>
      <c r="U39" s="23" t="s">
        <v>673</v>
      </c>
      <c r="V39" s="24" t="s">
        <v>1134</v>
      </c>
    </row>
    <row r="40" spans="1:22" x14ac:dyDescent="0.3">
      <c r="A40" s="17">
        <v>39</v>
      </c>
      <c r="B40" s="23" t="s">
        <v>1159</v>
      </c>
      <c r="C40" s="23" t="s">
        <v>1174</v>
      </c>
      <c r="D40" s="7">
        <v>4.7</v>
      </c>
      <c r="E40" s="23" t="s">
        <v>1105</v>
      </c>
      <c r="F40" s="7">
        <v>74</v>
      </c>
      <c r="G40" s="6" t="s">
        <v>1105</v>
      </c>
      <c r="H40" s="23" t="s">
        <v>1129</v>
      </c>
      <c r="I40" s="23" t="s">
        <v>13</v>
      </c>
      <c r="J40" s="7">
        <v>187500</v>
      </c>
      <c r="K40" s="23" t="s">
        <v>753</v>
      </c>
      <c r="L40" s="23" t="s">
        <v>712</v>
      </c>
      <c r="M40" s="23" t="s">
        <v>13</v>
      </c>
      <c r="N40" s="23" t="s">
        <v>13</v>
      </c>
      <c r="O40" s="23" t="s">
        <v>20</v>
      </c>
      <c r="P40" s="23">
        <v>1092.6500000000001</v>
      </c>
      <c r="Q40" s="23" t="s">
        <v>582</v>
      </c>
      <c r="R40" s="23">
        <v>1283.8599999999999</v>
      </c>
      <c r="S40" s="23" t="s">
        <v>1131</v>
      </c>
      <c r="T40" s="23">
        <v>630</v>
      </c>
      <c r="U40" s="23" t="s">
        <v>673</v>
      </c>
      <c r="V40" s="24" t="s">
        <v>1134</v>
      </c>
    </row>
    <row r="41" spans="1:22" x14ac:dyDescent="0.3">
      <c r="A41" s="17">
        <v>40</v>
      </c>
      <c r="B41" s="23" t="s">
        <v>1175</v>
      </c>
      <c r="C41" s="23" t="s">
        <v>1176</v>
      </c>
      <c r="D41" s="7">
        <v>1.5</v>
      </c>
      <c r="E41" s="23" t="s">
        <v>1105</v>
      </c>
      <c r="F41" s="7">
        <v>26</v>
      </c>
      <c r="G41" s="6" t="s">
        <v>1105</v>
      </c>
      <c r="H41" s="23" t="s">
        <v>1129</v>
      </c>
      <c r="I41" s="23" t="s">
        <v>13</v>
      </c>
      <c r="J41" s="7" t="s">
        <v>13</v>
      </c>
      <c r="K41" s="23" t="s">
        <v>20</v>
      </c>
      <c r="L41" s="23" t="s">
        <v>712</v>
      </c>
      <c r="M41" s="23" t="s">
        <v>13</v>
      </c>
      <c r="N41" s="23" t="s">
        <v>13</v>
      </c>
      <c r="O41" s="23" t="s">
        <v>20</v>
      </c>
      <c r="P41" s="23">
        <v>122.53</v>
      </c>
      <c r="Q41" s="23" t="s">
        <v>582</v>
      </c>
      <c r="R41" s="23">
        <v>45.949999999999996</v>
      </c>
      <c r="S41" s="23" t="s">
        <v>1131</v>
      </c>
      <c r="T41" s="23">
        <v>22</v>
      </c>
      <c r="U41" s="23" t="s">
        <v>673</v>
      </c>
      <c r="V41" s="24" t="s">
        <v>1134</v>
      </c>
    </row>
    <row r="42" spans="1:22" x14ac:dyDescent="0.3">
      <c r="A42" s="17">
        <v>41</v>
      </c>
      <c r="B42" s="23" t="s">
        <v>1175</v>
      </c>
      <c r="C42" s="23" t="s">
        <v>1177</v>
      </c>
      <c r="D42" s="7">
        <v>1.8</v>
      </c>
      <c r="E42" s="23" t="s">
        <v>1105</v>
      </c>
      <c r="F42" s="7">
        <v>24</v>
      </c>
      <c r="G42" s="6" t="s">
        <v>1105</v>
      </c>
      <c r="H42" s="23" t="s">
        <v>1129</v>
      </c>
      <c r="I42" s="23" t="s">
        <v>13</v>
      </c>
      <c r="J42" s="7" t="s">
        <v>13</v>
      </c>
      <c r="K42" s="23" t="s">
        <v>20</v>
      </c>
      <c r="L42" s="23" t="s">
        <v>712</v>
      </c>
      <c r="M42" s="23" t="s">
        <v>13</v>
      </c>
      <c r="N42" s="23" t="s">
        <v>13</v>
      </c>
      <c r="O42" s="23" t="s">
        <v>20</v>
      </c>
      <c r="P42" s="23">
        <v>135.72</v>
      </c>
      <c r="Q42" s="23" t="s">
        <v>582</v>
      </c>
      <c r="R42" s="23">
        <v>61.08</v>
      </c>
      <c r="S42" s="23" t="s">
        <v>1131</v>
      </c>
      <c r="T42" s="23">
        <v>30</v>
      </c>
      <c r="U42" s="23" t="s">
        <v>673</v>
      </c>
      <c r="V42" s="24" t="s">
        <v>1134</v>
      </c>
    </row>
    <row r="43" spans="1:22" x14ac:dyDescent="0.3">
      <c r="A43" s="17">
        <v>42</v>
      </c>
      <c r="B43" s="23" t="s">
        <v>1175</v>
      </c>
      <c r="C43" s="23" t="s">
        <v>1178</v>
      </c>
      <c r="D43" s="7">
        <v>2.2000000000000002</v>
      </c>
      <c r="E43" s="23" t="s">
        <v>1105</v>
      </c>
      <c r="F43" s="7">
        <v>36</v>
      </c>
      <c r="G43" s="6" t="s">
        <v>1105</v>
      </c>
      <c r="H43" s="23" t="s">
        <v>1129</v>
      </c>
      <c r="I43" s="23" t="s">
        <v>13</v>
      </c>
      <c r="J43" s="7" t="s">
        <v>13</v>
      </c>
      <c r="K43" s="23" t="s">
        <v>20</v>
      </c>
      <c r="L43" s="23" t="s">
        <v>712</v>
      </c>
      <c r="M43" s="23" t="s">
        <v>13</v>
      </c>
      <c r="N43" s="23" t="s">
        <v>13</v>
      </c>
      <c r="O43" s="23" t="s">
        <v>20</v>
      </c>
      <c r="P43" s="23">
        <v>248.82</v>
      </c>
      <c r="Q43" s="23" t="s">
        <v>582</v>
      </c>
      <c r="R43" s="23">
        <v>136.85</v>
      </c>
      <c r="S43" s="23" t="s">
        <v>1131</v>
      </c>
      <c r="T43" s="23">
        <v>45</v>
      </c>
      <c r="U43" s="23" t="s">
        <v>673</v>
      </c>
      <c r="V43" s="24" t="s">
        <v>1134</v>
      </c>
    </row>
    <row r="44" spans="1:22" x14ac:dyDescent="0.3">
      <c r="A44" s="17">
        <v>43</v>
      </c>
      <c r="B44" s="23" t="s">
        <v>1175</v>
      </c>
      <c r="C44" s="23" t="s">
        <v>1179</v>
      </c>
      <c r="D44" s="7">
        <v>2.4</v>
      </c>
      <c r="E44" s="23" t="s">
        <v>1105</v>
      </c>
      <c r="F44" s="7">
        <v>33</v>
      </c>
      <c r="G44" s="6" t="s">
        <v>1105</v>
      </c>
      <c r="H44" s="23" t="s">
        <v>1129</v>
      </c>
      <c r="I44" s="23" t="s">
        <v>13</v>
      </c>
      <c r="J44" s="7" t="s">
        <v>13</v>
      </c>
      <c r="K44" s="23" t="s">
        <v>20</v>
      </c>
      <c r="L44" s="23" t="s">
        <v>712</v>
      </c>
      <c r="M44" s="23" t="s">
        <v>13</v>
      </c>
      <c r="N44" s="23" t="s">
        <v>13</v>
      </c>
      <c r="O44" s="23" t="s">
        <v>20</v>
      </c>
      <c r="P44" s="23">
        <v>248.82</v>
      </c>
      <c r="Q44" s="23" t="s">
        <v>582</v>
      </c>
      <c r="R44" s="23">
        <v>149.29</v>
      </c>
      <c r="S44" s="23" t="s">
        <v>1131</v>
      </c>
      <c r="T44" s="23">
        <v>75</v>
      </c>
      <c r="U44" s="23" t="s">
        <v>673</v>
      </c>
      <c r="V44" s="24" t="s">
        <v>1134</v>
      </c>
    </row>
    <row r="45" spans="1:22" x14ac:dyDescent="0.3">
      <c r="A45" s="17">
        <v>44</v>
      </c>
      <c r="B45" s="23" t="s">
        <v>1180</v>
      </c>
      <c r="C45" s="23" t="s">
        <v>1181</v>
      </c>
      <c r="D45" s="7">
        <v>0.8</v>
      </c>
      <c r="E45" s="23" t="s">
        <v>1105</v>
      </c>
      <c r="F45" s="7">
        <v>15</v>
      </c>
      <c r="G45" s="6" t="s">
        <v>1105</v>
      </c>
      <c r="H45" s="23" t="s">
        <v>1129</v>
      </c>
      <c r="I45" s="23" t="s">
        <v>13</v>
      </c>
      <c r="J45" s="7">
        <v>350</v>
      </c>
      <c r="K45" s="23" t="s">
        <v>753</v>
      </c>
      <c r="L45" s="23" t="s">
        <v>712</v>
      </c>
      <c r="M45" s="23" t="s">
        <v>13</v>
      </c>
      <c r="N45" s="23" t="s">
        <v>13</v>
      </c>
      <c r="O45" s="23" t="s">
        <v>20</v>
      </c>
      <c r="P45" s="23">
        <v>37.699999999999996</v>
      </c>
      <c r="Q45" s="23" t="s">
        <v>582</v>
      </c>
      <c r="R45" s="23">
        <v>7.54</v>
      </c>
      <c r="S45" s="23" t="s">
        <v>1131</v>
      </c>
      <c r="T45" s="23">
        <v>5.5</v>
      </c>
      <c r="U45" s="23" t="s">
        <v>673</v>
      </c>
      <c r="V45" s="24" t="s">
        <v>1134</v>
      </c>
    </row>
    <row r="46" spans="1:22" x14ac:dyDescent="0.3">
      <c r="A46" s="17">
        <v>45</v>
      </c>
      <c r="B46" s="23" t="s">
        <v>1180</v>
      </c>
      <c r="C46" s="23" t="s">
        <v>1182</v>
      </c>
      <c r="D46" s="7">
        <v>2</v>
      </c>
      <c r="E46" s="23" t="s">
        <v>1105</v>
      </c>
      <c r="F46" s="7">
        <v>36</v>
      </c>
      <c r="G46" s="6" t="s">
        <v>1105</v>
      </c>
      <c r="H46" s="23" t="s">
        <v>1129</v>
      </c>
      <c r="I46" s="23" t="s">
        <v>13</v>
      </c>
      <c r="J46" s="7">
        <v>3500</v>
      </c>
      <c r="K46" s="23" t="s">
        <v>753</v>
      </c>
      <c r="L46" s="23" t="s">
        <v>712</v>
      </c>
      <c r="M46" s="23" t="s">
        <v>13</v>
      </c>
      <c r="N46" s="23" t="s">
        <v>13</v>
      </c>
      <c r="O46" s="23" t="s">
        <v>20</v>
      </c>
      <c r="P46" s="23">
        <v>226.2</v>
      </c>
      <c r="Q46" s="23" t="s">
        <v>582</v>
      </c>
      <c r="R46" s="23">
        <v>113.10000000000001</v>
      </c>
      <c r="S46" s="23" t="s">
        <v>1131</v>
      </c>
      <c r="T46" s="23">
        <v>37</v>
      </c>
      <c r="U46" s="23" t="s">
        <v>673</v>
      </c>
      <c r="V46" s="24" t="s">
        <v>1134</v>
      </c>
    </row>
    <row r="47" spans="1:22" x14ac:dyDescent="0.3">
      <c r="A47" s="17">
        <v>46</v>
      </c>
      <c r="B47" s="23" t="s">
        <v>1180</v>
      </c>
      <c r="C47" s="23" t="s">
        <v>1183</v>
      </c>
      <c r="D47" s="7">
        <v>2.6</v>
      </c>
      <c r="E47" s="23" t="s">
        <v>1105</v>
      </c>
      <c r="F47" s="7">
        <v>47</v>
      </c>
      <c r="G47" s="6" t="s">
        <v>1105</v>
      </c>
      <c r="H47" s="23" t="s">
        <v>1129</v>
      </c>
      <c r="I47" s="23" t="s">
        <v>13</v>
      </c>
      <c r="J47" s="7">
        <v>5000</v>
      </c>
      <c r="K47" s="23" t="s">
        <v>753</v>
      </c>
      <c r="L47" s="23" t="s">
        <v>712</v>
      </c>
      <c r="M47" s="23" t="s">
        <v>13</v>
      </c>
      <c r="N47" s="23" t="s">
        <v>13</v>
      </c>
      <c r="O47" s="23" t="s">
        <v>20</v>
      </c>
      <c r="P47" s="23">
        <v>383.90999999999997</v>
      </c>
      <c r="Q47" s="23" t="s">
        <v>582</v>
      </c>
      <c r="R47" s="23">
        <v>249.54</v>
      </c>
      <c r="S47" s="23" t="s">
        <v>1131</v>
      </c>
      <c r="T47" s="23">
        <v>55</v>
      </c>
      <c r="U47" s="23" t="s">
        <v>673</v>
      </c>
      <c r="V47" s="24" t="s">
        <v>1134</v>
      </c>
    </row>
    <row r="48" spans="1:22" x14ac:dyDescent="0.3">
      <c r="A48" s="17">
        <v>47</v>
      </c>
      <c r="B48" s="23" t="s">
        <v>1180</v>
      </c>
      <c r="C48" s="23" t="s">
        <v>1165</v>
      </c>
      <c r="D48" s="7">
        <v>3</v>
      </c>
      <c r="E48" s="23" t="s">
        <v>1105</v>
      </c>
      <c r="F48" s="7">
        <v>45</v>
      </c>
      <c r="G48" s="6" t="s">
        <v>1105</v>
      </c>
      <c r="H48" s="23" t="s">
        <v>1129</v>
      </c>
      <c r="I48" s="23" t="s">
        <v>13</v>
      </c>
      <c r="J48" s="7">
        <v>9000</v>
      </c>
      <c r="K48" s="23" t="s">
        <v>753</v>
      </c>
      <c r="L48" s="23" t="s">
        <v>712</v>
      </c>
      <c r="M48" s="23" t="s">
        <v>13</v>
      </c>
      <c r="N48" s="23" t="s">
        <v>13</v>
      </c>
      <c r="O48" s="23" t="s">
        <v>20</v>
      </c>
      <c r="P48" s="23">
        <v>424.12</v>
      </c>
      <c r="Q48" s="23" t="s">
        <v>582</v>
      </c>
      <c r="R48" s="23">
        <v>318.08999999999997</v>
      </c>
      <c r="S48" s="23" t="s">
        <v>1131</v>
      </c>
      <c r="T48" s="23">
        <v>90</v>
      </c>
      <c r="U48" s="23" t="s">
        <v>673</v>
      </c>
      <c r="V48" s="24" t="s">
        <v>1134</v>
      </c>
    </row>
    <row r="49" spans="1:22" x14ac:dyDescent="0.3">
      <c r="A49" s="17">
        <v>48</v>
      </c>
      <c r="B49" s="23" t="s">
        <v>1180</v>
      </c>
      <c r="C49" s="23" t="s">
        <v>1184</v>
      </c>
      <c r="D49" s="7">
        <v>3.3</v>
      </c>
      <c r="E49" s="23" t="s">
        <v>1105</v>
      </c>
      <c r="F49" s="7">
        <v>60</v>
      </c>
      <c r="G49" s="6" t="s">
        <v>1105</v>
      </c>
      <c r="H49" s="23" t="s">
        <v>1129</v>
      </c>
      <c r="I49" s="23" t="s">
        <v>13</v>
      </c>
      <c r="J49" s="7">
        <v>14000</v>
      </c>
      <c r="K49" s="23" t="s">
        <v>753</v>
      </c>
      <c r="L49" s="23" t="s">
        <v>712</v>
      </c>
      <c r="M49" s="23" t="s">
        <v>13</v>
      </c>
      <c r="N49" s="23" t="s">
        <v>13</v>
      </c>
      <c r="O49" s="23" t="s">
        <v>20</v>
      </c>
      <c r="P49" s="23">
        <v>622.04</v>
      </c>
      <c r="Q49" s="23" t="s">
        <v>582</v>
      </c>
      <c r="R49" s="23">
        <v>513.17999999999995</v>
      </c>
      <c r="S49" s="23" t="s">
        <v>1131</v>
      </c>
      <c r="T49" s="23">
        <v>132</v>
      </c>
      <c r="U49" s="23" t="s">
        <v>673</v>
      </c>
      <c r="V49" s="24" t="s">
        <v>1134</v>
      </c>
    </row>
    <row r="50" spans="1:22" x14ac:dyDescent="0.3">
      <c r="A50" s="17">
        <v>49</v>
      </c>
      <c r="B50" s="23" t="s">
        <v>1180</v>
      </c>
      <c r="C50" s="23" t="s">
        <v>1185</v>
      </c>
      <c r="D50" s="7">
        <v>3.6</v>
      </c>
      <c r="E50" s="23" t="s">
        <v>1105</v>
      </c>
      <c r="F50" s="7">
        <v>65</v>
      </c>
      <c r="G50" s="6" t="s">
        <v>1105</v>
      </c>
      <c r="H50" s="23" t="s">
        <v>1129</v>
      </c>
      <c r="I50" s="23" t="s">
        <v>13</v>
      </c>
      <c r="J50" s="7">
        <v>22500</v>
      </c>
      <c r="K50" s="23" t="s">
        <v>753</v>
      </c>
      <c r="L50" s="23" t="s">
        <v>712</v>
      </c>
      <c r="M50" s="23" t="s">
        <v>13</v>
      </c>
      <c r="N50" s="23" t="s">
        <v>13</v>
      </c>
      <c r="O50" s="23" t="s">
        <v>20</v>
      </c>
      <c r="P50" s="23">
        <v>735.14</v>
      </c>
      <c r="Q50" s="23" t="s">
        <v>582</v>
      </c>
      <c r="R50" s="23">
        <v>661.62</v>
      </c>
      <c r="S50" s="23" t="s">
        <v>1131</v>
      </c>
      <c r="T50" s="23">
        <v>185</v>
      </c>
      <c r="U50" s="23" t="s">
        <v>673</v>
      </c>
      <c r="V50" s="24" t="s">
        <v>1134</v>
      </c>
    </row>
    <row r="51" spans="1:22" x14ac:dyDescent="0.3">
      <c r="A51" s="17">
        <v>50</v>
      </c>
      <c r="B51" s="23" t="s">
        <v>1180</v>
      </c>
      <c r="C51" s="23" t="s">
        <v>1186</v>
      </c>
      <c r="D51" s="7">
        <v>4</v>
      </c>
      <c r="E51" s="23" t="s">
        <v>1105</v>
      </c>
      <c r="F51" s="7">
        <v>72</v>
      </c>
      <c r="G51" s="6" t="s">
        <v>1105</v>
      </c>
      <c r="H51" s="23" t="s">
        <v>1129</v>
      </c>
      <c r="I51" s="23" t="s">
        <v>13</v>
      </c>
      <c r="J51" s="7">
        <v>32500</v>
      </c>
      <c r="K51" s="23" t="s">
        <v>753</v>
      </c>
      <c r="L51" s="23" t="s">
        <v>712</v>
      </c>
      <c r="M51" s="23" t="s">
        <v>13</v>
      </c>
      <c r="N51" s="23" t="s">
        <v>13</v>
      </c>
      <c r="O51" s="23" t="s">
        <v>20</v>
      </c>
      <c r="P51" s="23">
        <v>904.78</v>
      </c>
      <c r="Q51" s="23" t="s">
        <v>582</v>
      </c>
      <c r="R51" s="23">
        <v>904.78</v>
      </c>
      <c r="S51" s="23" t="s">
        <v>1131</v>
      </c>
      <c r="T51" s="23">
        <v>250</v>
      </c>
      <c r="U51" s="23" t="s">
        <v>673</v>
      </c>
      <c r="V51" s="24" t="s">
        <v>1134</v>
      </c>
    </row>
    <row r="52" spans="1:22" x14ac:dyDescent="0.3">
      <c r="A52" s="17">
        <v>51</v>
      </c>
      <c r="B52" s="23" t="s">
        <v>1180</v>
      </c>
      <c r="C52" s="23" t="s">
        <v>1187</v>
      </c>
      <c r="D52" s="7">
        <v>4.3</v>
      </c>
      <c r="E52" s="23" t="s">
        <v>1105</v>
      </c>
      <c r="F52" s="7">
        <v>78</v>
      </c>
      <c r="G52" s="6" t="s">
        <v>1105</v>
      </c>
      <c r="H52" s="23" t="s">
        <v>1129</v>
      </c>
      <c r="I52" s="23" t="s">
        <v>13</v>
      </c>
      <c r="J52" s="7">
        <v>45000</v>
      </c>
      <c r="K52" s="23" t="s">
        <v>753</v>
      </c>
      <c r="L52" s="23" t="s">
        <v>712</v>
      </c>
      <c r="M52" s="23" t="s">
        <v>13</v>
      </c>
      <c r="N52" s="23" t="s">
        <v>13</v>
      </c>
      <c r="O52" s="23" t="s">
        <v>20</v>
      </c>
      <c r="P52" s="23">
        <v>1053.7</v>
      </c>
      <c r="Q52" s="23" t="s">
        <v>582</v>
      </c>
      <c r="R52" s="23">
        <v>1132.72</v>
      </c>
      <c r="S52" s="23" t="s">
        <v>1131</v>
      </c>
      <c r="T52" s="23">
        <v>315</v>
      </c>
      <c r="U52" s="23" t="s">
        <v>673</v>
      </c>
      <c r="V52" s="24" t="s">
        <v>1134</v>
      </c>
    </row>
    <row r="53" spans="1:22" x14ac:dyDescent="0.3">
      <c r="A53" s="17">
        <v>52</v>
      </c>
      <c r="B53" s="23" t="s">
        <v>1180</v>
      </c>
      <c r="C53" s="23" t="s">
        <v>1188</v>
      </c>
      <c r="D53" s="7">
        <v>4.8</v>
      </c>
      <c r="E53" s="23" t="s">
        <v>1105</v>
      </c>
      <c r="F53" s="7">
        <v>86</v>
      </c>
      <c r="G53" s="6" t="s">
        <v>1105</v>
      </c>
      <c r="H53" s="23" t="s">
        <v>1129</v>
      </c>
      <c r="I53" s="23" t="s">
        <v>13</v>
      </c>
      <c r="J53" s="7">
        <v>55000</v>
      </c>
      <c r="K53" s="23" t="s">
        <v>753</v>
      </c>
      <c r="L53" s="23" t="s">
        <v>712</v>
      </c>
      <c r="M53" s="23" t="s">
        <v>13</v>
      </c>
      <c r="N53" s="23" t="s">
        <v>13</v>
      </c>
      <c r="O53" s="23" t="s">
        <v>20</v>
      </c>
      <c r="P53" s="23">
        <v>1296.8499999999999</v>
      </c>
      <c r="Q53" s="23" t="s">
        <v>582</v>
      </c>
      <c r="R53" s="23">
        <v>1556.22</v>
      </c>
      <c r="S53" s="23" t="s">
        <v>1131</v>
      </c>
      <c r="T53" s="23">
        <v>450</v>
      </c>
      <c r="U53" s="23" t="s">
        <v>673</v>
      </c>
      <c r="V53" s="24" t="s">
        <v>1134</v>
      </c>
    </row>
    <row r="54" spans="1:22" x14ac:dyDescent="0.3">
      <c r="A54" s="17">
        <v>53</v>
      </c>
      <c r="B54" s="23" t="s">
        <v>1180</v>
      </c>
      <c r="C54" s="23" t="s">
        <v>1189</v>
      </c>
      <c r="D54" s="7">
        <v>5</v>
      </c>
      <c r="E54" s="23" t="s">
        <v>1105</v>
      </c>
      <c r="F54" s="7">
        <v>90</v>
      </c>
      <c r="G54" s="6" t="s">
        <v>1105</v>
      </c>
      <c r="H54" s="23" t="s">
        <v>1129</v>
      </c>
      <c r="I54" s="23" t="s">
        <v>13</v>
      </c>
      <c r="J54" s="7">
        <v>65000</v>
      </c>
      <c r="K54" s="23" t="s">
        <v>753</v>
      </c>
      <c r="L54" s="23" t="s">
        <v>712</v>
      </c>
      <c r="M54" s="23" t="s">
        <v>13</v>
      </c>
      <c r="N54" s="23" t="s">
        <v>13</v>
      </c>
      <c r="O54" s="23" t="s">
        <v>20</v>
      </c>
      <c r="P54" s="23">
        <v>1413.72</v>
      </c>
      <c r="Q54" s="23" t="s">
        <v>582</v>
      </c>
      <c r="R54" s="23">
        <v>1767.15</v>
      </c>
      <c r="S54" s="23" t="s">
        <v>1131</v>
      </c>
      <c r="T54" s="23">
        <v>500</v>
      </c>
      <c r="U54" s="23" t="s">
        <v>673</v>
      </c>
      <c r="V54" s="24" t="s">
        <v>1134</v>
      </c>
    </row>
    <row r="55" spans="1:22" x14ac:dyDescent="0.3">
      <c r="A55" s="17">
        <v>54</v>
      </c>
      <c r="B55" s="23" t="s">
        <v>1180</v>
      </c>
      <c r="C55" s="23" t="s">
        <v>1190</v>
      </c>
      <c r="D55" s="7">
        <v>5.2</v>
      </c>
      <c r="E55" s="23" t="s">
        <v>1105</v>
      </c>
      <c r="F55" s="7">
        <v>95</v>
      </c>
      <c r="G55" s="6" t="s">
        <v>1105</v>
      </c>
      <c r="H55" s="23" t="s">
        <v>1129</v>
      </c>
      <c r="I55" s="23" t="s">
        <v>13</v>
      </c>
      <c r="J55" s="7">
        <v>75000</v>
      </c>
      <c r="K55" s="23" t="s">
        <v>753</v>
      </c>
      <c r="L55" s="23" t="s">
        <v>712</v>
      </c>
      <c r="M55" s="23" t="s">
        <v>13</v>
      </c>
      <c r="N55" s="23" t="s">
        <v>13</v>
      </c>
      <c r="O55" s="23" t="s">
        <v>20</v>
      </c>
      <c r="P55" s="23">
        <v>1551.95</v>
      </c>
      <c r="Q55" s="23" t="s">
        <v>582</v>
      </c>
      <c r="R55" s="23">
        <v>2017.54</v>
      </c>
      <c r="S55" s="23" t="s">
        <v>1131</v>
      </c>
      <c r="T55" s="23">
        <v>630</v>
      </c>
      <c r="U55" s="23" t="s">
        <v>673</v>
      </c>
      <c r="V55" s="24" t="s">
        <v>1134</v>
      </c>
    </row>
    <row r="56" spans="1:22" x14ac:dyDescent="0.3">
      <c r="A56" s="17">
        <v>55</v>
      </c>
      <c r="B56" s="23" t="s">
        <v>1191</v>
      </c>
      <c r="C56" s="23" t="s">
        <v>1192</v>
      </c>
      <c r="D56" s="7">
        <v>2.8</v>
      </c>
      <c r="E56" s="23" t="s">
        <v>1105</v>
      </c>
      <c r="F56" s="7">
        <v>46</v>
      </c>
      <c r="G56" s="6" t="s">
        <v>1105</v>
      </c>
      <c r="H56" s="23" t="s">
        <v>1129</v>
      </c>
      <c r="I56" s="23" t="s">
        <v>13</v>
      </c>
      <c r="J56" s="7">
        <v>8000</v>
      </c>
      <c r="K56" s="23" t="s">
        <v>753</v>
      </c>
      <c r="L56" s="23" t="s">
        <v>712</v>
      </c>
      <c r="M56" s="23" t="s">
        <v>13</v>
      </c>
      <c r="N56" s="23" t="s">
        <v>13</v>
      </c>
      <c r="O56" s="23" t="s">
        <v>20</v>
      </c>
      <c r="P56" s="23">
        <v>404.64</v>
      </c>
      <c r="Q56" s="23" t="s">
        <v>582</v>
      </c>
      <c r="R56" s="23">
        <v>283.25</v>
      </c>
      <c r="S56" s="23" t="s">
        <v>1131</v>
      </c>
      <c r="T56" s="23">
        <v>75</v>
      </c>
      <c r="U56" s="23" t="s">
        <v>673</v>
      </c>
      <c r="V56" s="24" t="s">
        <v>1134</v>
      </c>
    </row>
    <row r="57" spans="1:22" x14ac:dyDescent="0.3">
      <c r="A57" s="17">
        <v>56</v>
      </c>
      <c r="B57" s="23" t="s">
        <v>1191</v>
      </c>
      <c r="C57" s="23" t="s">
        <v>1193</v>
      </c>
      <c r="D57" s="7">
        <v>2.8</v>
      </c>
      <c r="E57" s="23" t="s">
        <v>1105</v>
      </c>
      <c r="F57" s="7">
        <v>56</v>
      </c>
      <c r="G57" s="6" t="s">
        <v>1105</v>
      </c>
      <c r="H57" s="23" t="s">
        <v>1129</v>
      </c>
      <c r="I57" s="23" t="s">
        <v>13</v>
      </c>
      <c r="J57" s="7">
        <v>8000</v>
      </c>
      <c r="K57" s="23" t="s">
        <v>753</v>
      </c>
      <c r="L57" s="23" t="s">
        <v>712</v>
      </c>
      <c r="M57" s="23" t="s">
        <v>13</v>
      </c>
      <c r="N57" s="23" t="s">
        <v>13</v>
      </c>
      <c r="O57" s="23" t="s">
        <v>20</v>
      </c>
      <c r="P57" s="23">
        <v>492.61</v>
      </c>
      <c r="Q57" s="23" t="s">
        <v>582</v>
      </c>
      <c r="R57" s="23">
        <v>344.83</v>
      </c>
      <c r="S57" s="23" t="s">
        <v>1131</v>
      </c>
      <c r="T57" s="23">
        <v>90</v>
      </c>
      <c r="U57" s="23" t="s">
        <v>673</v>
      </c>
      <c r="V57" s="24" t="s">
        <v>1134</v>
      </c>
    </row>
    <row r="58" spans="1:22" x14ac:dyDescent="0.3">
      <c r="A58" s="17">
        <v>57</v>
      </c>
      <c r="B58" s="23" t="s">
        <v>1191</v>
      </c>
      <c r="C58" s="23" t="s">
        <v>1166</v>
      </c>
      <c r="D58" s="7">
        <v>3</v>
      </c>
      <c r="E58" s="23" t="s">
        <v>1105</v>
      </c>
      <c r="F58" s="7">
        <v>60</v>
      </c>
      <c r="G58" s="6" t="s">
        <v>1105</v>
      </c>
      <c r="H58" s="23" t="s">
        <v>1129</v>
      </c>
      <c r="I58" s="23" t="s">
        <v>13</v>
      </c>
      <c r="J58" s="7">
        <v>10000</v>
      </c>
      <c r="K58" s="23" t="s">
        <v>753</v>
      </c>
      <c r="L58" s="23" t="s">
        <v>712</v>
      </c>
      <c r="M58" s="23" t="s">
        <v>13</v>
      </c>
      <c r="N58" s="23" t="s">
        <v>13</v>
      </c>
      <c r="O58" s="23" t="s">
        <v>20</v>
      </c>
      <c r="P58" s="23">
        <v>565.49</v>
      </c>
      <c r="Q58" s="23" t="s">
        <v>582</v>
      </c>
      <c r="R58" s="23">
        <v>424.12</v>
      </c>
      <c r="S58" s="23" t="s">
        <v>1131</v>
      </c>
      <c r="T58" s="23">
        <v>132</v>
      </c>
      <c r="U58" s="23" t="s">
        <v>673</v>
      </c>
      <c r="V58" s="24" t="s">
        <v>1134</v>
      </c>
    </row>
    <row r="59" spans="1:22" x14ac:dyDescent="0.3">
      <c r="A59" s="17">
        <v>58</v>
      </c>
      <c r="B59" s="23" t="s">
        <v>1191</v>
      </c>
      <c r="C59" s="23" t="s">
        <v>1194</v>
      </c>
      <c r="D59" s="7">
        <v>3.2</v>
      </c>
      <c r="E59" s="23" t="s">
        <v>1105</v>
      </c>
      <c r="F59" s="7">
        <v>48</v>
      </c>
      <c r="G59" s="6" t="s">
        <v>1105</v>
      </c>
      <c r="H59" s="23" t="s">
        <v>1129</v>
      </c>
      <c r="I59" s="23" t="s">
        <v>13</v>
      </c>
      <c r="J59" s="7">
        <v>12000</v>
      </c>
      <c r="K59" s="23" t="s">
        <v>753</v>
      </c>
      <c r="L59" s="23" t="s">
        <v>712</v>
      </c>
      <c r="M59" s="23" t="s">
        <v>13</v>
      </c>
      <c r="N59" s="23" t="s">
        <v>13</v>
      </c>
      <c r="O59" s="23" t="s">
        <v>20</v>
      </c>
      <c r="P59" s="23">
        <v>482.55</v>
      </c>
      <c r="Q59" s="23" t="s">
        <v>582</v>
      </c>
      <c r="R59" s="23">
        <v>386.03999999999996</v>
      </c>
      <c r="S59" s="23" t="s">
        <v>1131</v>
      </c>
      <c r="T59" s="23">
        <v>132</v>
      </c>
      <c r="U59" s="23" t="s">
        <v>673</v>
      </c>
      <c r="V59" s="24" t="s">
        <v>1134</v>
      </c>
    </row>
    <row r="60" spans="1:22" x14ac:dyDescent="0.3">
      <c r="A60" s="17">
        <v>59</v>
      </c>
      <c r="B60" s="23" t="s">
        <v>1191</v>
      </c>
      <c r="C60" s="23" t="s">
        <v>1195</v>
      </c>
      <c r="D60" s="7">
        <v>3.2</v>
      </c>
      <c r="E60" s="23" t="s">
        <v>1105</v>
      </c>
      <c r="F60" s="7">
        <v>68</v>
      </c>
      <c r="G60" s="6" t="s">
        <v>1105</v>
      </c>
      <c r="H60" s="23" t="s">
        <v>1129</v>
      </c>
      <c r="I60" s="23" t="s">
        <v>13</v>
      </c>
      <c r="J60" s="7">
        <v>12000</v>
      </c>
      <c r="K60" s="23" t="s">
        <v>753</v>
      </c>
      <c r="L60" s="23" t="s">
        <v>712</v>
      </c>
      <c r="M60" s="23" t="s">
        <v>13</v>
      </c>
      <c r="N60" s="23" t="s">
        <v>13</v>
      </c>
      <c r="O60" s="23" t="s">
        <v>20</v>
      </c>
      <c r="P60" s="23">
        <v>683.62</v>
      </c>
      <c r="Q60" s="23" t="s">
        <v>582</v>
      </c>
      <c r="R60" s="23">
        <v>546.89</v>
      </c>
      <c r="S60" s="23" t="s">
        <v>1131</v>
      </c>
      <c r="T60" s="23">
        <v>185</v>
      </c>
      <c r="U60" s="23" t="s">
        <v>673</v>
      </c>
      <c r="V60" s="24" t="s">
        <v>1134</v>
      </c>
    </row>
    <row r="61" spans="1:22" x14ac:dyDescent="0.3">
      <c r="A61" s="17">
        <v>60</v>
      </c>
      <c r="B61" s="23" t="s">
        <v>1191</v>
      </c>
      <c r="C61" s="23" t="s">
        <v>1196</v>
      </c>
      <c r="D61" s="7">
        <v>3.5</v>
      </c>
      <c r="E61" s="23" t="s">
        <v>1105</v>
      </c>
      <c r="F61" s="7">
        <v>52</v>
      </c>
      <c r="G61" s="6" t="s">
        <v>1105</v>
      </c>
      <c r="H61" s="23" t="s">
        <v>1129</v>
      </c>
      <c r="I61" s="23" t="s">
        <v>13</v>
      </c>
      <c r="J61" s="7">
        <v>14500</v>
      </c>
      <c r="K61" s="23" t="s">
        <v>753</v>
      </c>
      <c r="L61" s="23" t="s">
        <v>712</v>
      </c>
      <c r="M61" s="23" t="s">
        <v>13</v>
      </c>
      <c r="N61" s="23" t="s">
        <v>13</v>
      </c>
      <c r="O61" s="23" t="s">
        <v>20</v>
      </c>
      <c r="P61" s="23">
        <v>571.77</v>
      </c>
      <c r="Q61" s="23" t="s">
        <v>582</v>
      </c>
      <c r="R61" s="23">
        <v>500.3</v>
      </c>
      <c r="S61" s="23" t="s">
        <v>1131</v>
      </c>
      <c r="T61" s="23">
        <v>160</v>
      </c>
      <c r="U61" s="23" t="s">
        <v>673</v>
      </c>
      <c r="V61" s="24" t="s">
        <v>1134</v>
      </c>
    </row>
    <row r="62" spans="1:22" x14ac:dyDescent="0.3">
      <c r="A62" s="17">
        <v>61</v>
      </c>
      <c r="B62" s="23" t="s">
        <v>1191</v>
      </c>
      <c r="C62" s="23" t="s">
        <v>1197</v>
      </c>
      <c r="D62" s="7">
        <v>3.5</v>
      </c>
      <c r="E62" s="23" t="s">
        <v>1105</v>
      </c>
      <c r="F62" s="7">
        <v>70</v>
      </c>
      <c r="G62" s="6" t="s">
        <v>1105</v>
      </c>
      <c r="H62" s="23" t="s">
        <v>1129</v>
      </c>
      <c r="I62" s="23" t="s">
        <v>13</v>
      </c>
      <c r="J62" s="7">
        <v>14500</v>
      </c>
      <c r="K62" s="23" t="s">
        <v>753</v>
      </c>
      <c r="L62" s="23" t="s">
        <v>712</v>
      </c>
      <c r="M62" s="23" t="s">
        <v>13</v>
      </c>
      <c r="N62" s="23" t="s">
        <v>13</v>
      </c>
      <c r="O62" s="23" t="s">
        <v>20</v>
      </c>
      <c r="P62" s="23">
        <v>769.7</v>
      </c>
      <c r="Q62" s="23" t="s">
        <v>582</v>
      </c>
      <c r="R62" s="23">
        <v>673.48</v>
      </c>
      <c r="S62" s="23" t="s">
        <v>1131</v>
      </c>
      <c r="T62" s="23">
        <v>220</v>
      </c>
      <c r="U62" s="23" t="s">
        <v>673</v>
      </c>
      <c r="V62" s="24" t="s">
        <v>1134</v>
      </c>
    </row>
    <row r="63" spans="1:22" x14ac:dyDescent="0.3">
      <c r="A63" s="17">
        <v>62</v>
      </c>
      <c r="B63" s="23" t="s">
        <v>1191</v>
      </c>
      <c r="C63" s="23" t="s">
        <v>1198</v>
      </c>
      <c r="D63" s="7">
        <v>4</v>
      </c>
      <c r="E63" s="23" t="s">
        <v>1105</v>
      </c>
      <c r="F63" s="7">
        <v>60</v>
      </c>
      <c r="G63" s="6" t="s">
        <v>1105</v>
      </c>
      <c r="H63" s="23" t="s">
        <v>1129</v>
      </c>
      <c r="I63" s="23" t="s">
        <v>13</v>
      </c>
      <c r="J63" s="7">
        <v>20000</v>
      </c>
      <c r="K63" s="23" t="s">
        <v>753</v>
      </c>
      <c r="L63" s="23" t="s">
        <v>712</v>
      </c>
      <c r="M63" s="23" t="s">
        <v>13</v>
      </c>
      <c r="N63" s="23" t="s">
        <v>13</v>
      </c>
      <c r="O63" s="23" t="s">
        <v>20</v>
      </c>
      <c r="P63" s="23">
        <v>753.99</v>
      </c>
      <c r="Q63" s="23" t="s">
        <v>582</v>
      </c>
      <c r="R63" s="23">
        <v>753.99</v>
      </c>
      <c r="S63" s="23" t="s">
        <v>1131</v>
      </c>
      <c r="T63" s="23">
        <v>250</v>
      </c>
      <c r="U63" s="23" t="s">
        <v>673</v>
      </c>
      <c r="V63" s="24" t="s">
        <v>1134</v>
      </c>
    </row>
    <row r="64" spans="1:22" x14ac:dyDescent="0.3">
      <c r="A64" s="17">
        <v>63</v>
      </c>
      <c r="B64" s="23" t="s">
        <v>1191</v>
      </c>
      <c r="C64" s="23" t="s">
        <v>1199</v>
      </c>
      <c r="D64" s="7">
        <v>4</v>
      </c>
      <c r="E64" s="23" t="s">
        <v>1105</v>
      </c>
      <c r="F64" s="7">
        <v>80</v>
      </c>
      <c r="G64" s="6" t="s">
        <v>1105</v>
      </c>
      <c r="H64" s="23" t="s">
        <v>1129</v>
      </c>
      <c r="I64" s="23" t="s">
        <v>13</v>
      </c>
      <c r="J64" s="7">
        <v>20000</v>
      </c>
      <c r="K64" s="23" t="s">
        <v>753</v>
      </c>
      <c r="L64" s="23" t="s">
        <v>712</v>
      </c>
      <c r="M64" s="23" t="s">
        <v>13</v>
      </c>
      <c r="N64" s="23" t="s">
        <v>13</v>
      </c>
      <c r="O64" s="23" t="s">
        <v>20</v>
      </c>
      <c r="P64" s="23">
        <v>1005.31</v>
      </c>
      <c r="Q64" s="23" t="s">
        <v>582</v>
      </c>
      <c r="R64" s="23">
        <v>1005.31</v>
      </c>
      <c r="S64" s="23" t="s">
        <v>1131</v>
      </c>
      <c r="T64" s="23">
        <v>315</v>
      </c>
      <c r="U64" s="23" t="s">
        <v>673</v>
      </c>
      <c r="V64" s="24" t="s">
        <v>1134</v>
      </c>
    </row>
    <row r="65" spans="1:22" x14ac:dyDescent="0.3">
      <c r="A65" s="17">
        <v>64</v>
      </c>
      <c r="B65" s="23" t="s">
        <v>1191</v>
      </c>
      <c r="C65" s="23" t="s">
        <v>1171</v>
      </c>
      <c r="D65" s="7">
        <v>4.2</v>
      </c>
      <c r="E65" s="23" t="s">
        <v>1105</v>
      </c>
      <c r="F65" s="7">
        <v>60</v>
      </c>
      <c r="G65" s="6" t="s">
        <v>1105</v>
      </c>
      <c r="H65" s="23" t="s">
        <v>1129</v>
      </c>
      <c r="I65" s="23" t="s">
        <v>13</v>
      </c>
      <c r="J65" s="7">
        <v>22500</v>
      </c>
      <c r="K65" s="23" t="s">
        <v>753</v>
      </c>
      <c r="L65" s="23" t="s">
        <v>712</v>
      </c>
      <c r="M65" s="23" t="s">
        <v>13</v>
      </c>
      <c r="N65" s="23" t="s">
        <v>13</v>
      </c>
      <c r="O65" s="23" t="s">
        <v>20</v>
      </c>
      <c r="P65" s="23">
        <v>791.68999999999994</v>
      </c>
      <c r="Q65" s="23" t="s">
        <v>582</v>
      </c>
      <c r="R65" s="23">
        <v>831.27</v>
      </c>
      <c r="S65" s="23" t="s">
        <v>1131</v>
      </c>
      <c r="T65" s="23">
        <v>280</v>
      </c>
      <c r="U65" s="23" t="s">
        <v>673</v>
      </c>
      <c r="V65" s="24" t="s">
        <v>1134</v>
      </c>
    </row>
    <row r="66" spans="1:22" x14ac:dyDescent="0.3">
      <c r="A66" s="17">
        <v>65</v>
      </c>
      <c r="B66" s="23" t="s">
        <v>1191</v>
      </c>
      <c r="C66" s="23" t="s">
        <v>1200</v>
      </c>
      <c r="D66" s="7">
        <v>4.2</v>
      </c>
      <c r="E66" s="23" t="s">
        <v>1105</v>
      </c>
      <c r="F66" s="7">
        <v>84</v>
      </c>
      <c r="G66" s="6" t="s">
        <v>1105</v>
      </c>
      <c r="H66" s="23" t="s">
        <v>1129</v>
      </c>
      <c r="I66" s="23" t="s">
        <v>13</v>
      </c>
      <c r="J66" s="7">
        <v>22500</v>
      </c>
      <c r="K66" s="23" t="s">
        <v>753</v>
      </c>
      <c r="L66" s="23" t="s">
        <v>712</v>
      </c>
      <c r="M66" s="23" t="s">
        <v>13</v>
      </c>
      <c r="N66" s="23" t="s">
        <v>13</v>
      </c>
      <c r="O66" s="23" t="s">
        <v>20</v>
      </c>
      <c r="P66" s="23">
        <v>1108.3599999999999</v>
      </c>
      <c r="Q66" s="23" t="s">
        <v>582</v>
      </c>
      <c r="R66" s="23">
        <v>1163.78</v>
      </c>
      <c r="S66" s="23" t="s">
        <v>1131</v>
      </c>
      <c r="T66" s="23">
        <v>400</v>
      </c>
      <c r="U66" s="23" t="s">
        <v>673</v>
      </c>
      <c r="V66" s="24" t="s">
        <v>1134</v>
      </c>
    </row>
    <row r="67" spans="1:22" x14ac:dyDescent="0.3">
      <c r="A67" s="17">
        <v>66</v>
      </c>
      <c r="B67" s="23" t="s">
        <v>1191</v>
      </c>
      <c r="C67" s="23" t="s">
        <v>1201</v>
      </c>
      <c r="D67" s="7">
        <v>4.3</v>
      </c>
      <c r="E67" s="23" t="s">
        <v>1105</v>
      </c>
      <c r="F67" s="7">
        <v>62</v>
      </c>
      <c r="G67" s="6" t="s">
        <v>1105</v>
      </c>
      <c r="H67" s="23" t="s">
        <v>1129</v>
      </c>
      <c r="I67" s="23" t="s">
        <v>13</v>
      </c>
      <c r="J67" s="7">
        <v>26500</v>
      </c>
      <c r="K67" s="23" t="s">
        <v>753</v>
      </c>
      <c r="L67" s="23" t="s">
        <v>712</v>
      </c>
      <c r="M67" s="23" t="s">
        <v>13</v>
      </c>
      <c r="N67" s="23" t="s">
        <v>13</v>
      </c>
      <c r="O67" s="23" t="s">
        <v>20</v>
      </c>
      <c r="P67" s="23">
        <v>837.55</v>
      </c>
      <c r="Q67" s="23" t="s">
        <v>582</v>
      </c>
      <c r="R67" s="23">
        <v>900.37</v>
      </c>
      <c r="S67" s="23" t="s">
        <v>1131</v>
      </c>
      <c r="T67" s="23">
        <v>315</v>
      </c>
      <c r="U67" s="23" t="s">
        <v>673</v>
      </c>
      <c r="V67" s="24" t="s">
        <v>1134</v>
      </c>
    </row>
    <row r="68" spans="1:22" x14ac:dyDescent="0.3">
      <c r="A68" s="17">
        <v>67</v>
      </c>
      <c r="B68" s="23" t="s">
        <v>1191</v>
      </c>
      <c r="C68" s="23" t="s">
        <v>1202</v>
      </c>
      <c r="D68" s="7">
        <v>4.3</v>
      </c>
      <c r="E68" s="23" t="s">
        <v>1105</v>
      </c>
      <c r="F68" s="7">
        <v>86</v>
      </c>
      <c r="G68" s="6" t="s">
        <v>1105</v>
      </c>
      <c r="H68" s="23" t="s">
        <v>1129</v>
      </c>
      <c r="I68" s="23" t="s">
        <v>13</v>
      </c>
      <c r="J68" s="7">
        <v>26500</v>
      </c>
      <c r="K68" s="23" t="s">
        <v>753</v>
      </c>
      <c r="L68" s="23" t="s">
        <v>712</v>
      </c>
      <c r="M68" s="23" t="s">
        <v>13</v>
      </c>
      <c r="N68" s="23" t="s">
        <v>13</v>
      </c>
      <c r="O68" s="23" t="s">
        <v>20</v>
      </c>
      <c r="P68" s="23">
        <v>1161.77</v>
      </c>
      <c r="Q68" s="23" t="s">
        <v>582</v>
      </c>
      <c r="R68" s="23">
        <v>1248.9000000000001</v>
      </c>
      <c r="S68" s="23" t="s">
        <v>1131</v>
      </c>
      <c r="T68" s="23">
        <v>450</v>
      </c>
      <c r="U68" s="23" t="s">
        <v>673</v>
      </c>
      <c r="V68" s="24" t="s">
        <v>1134</v>
      </c>
    </row>
    <row r="69" spans="1:22" x14ac:dyDescent="0.3">
      <c r="A69" s="17">
        <v>68</v>
      </c>
      <c r="B69" s="23" t="s">
        <v>1191</v>
      </c>
      <c r="C69" s="23" t="s">
        <v>1203</v>
      </c>
      <c r="D69" s="7">
        <v>4.5</v>
      </c>
      <c r="E69" s="23" t="s">
        <v>1105</v>
      </c>
      <c r="F69" s="7">
        <v>68</v>
      </c>
      <c r="G69" s="6" t="s">
        <v>1105</v>
      </c>
      <c r="H69" s="23" t="s">
        <v>1129</v>
      </c>
      <c r="I69" s="23" t="s">
        <v>13</v>
      </c>
      <c r="J69" s="7">
        <v>30500</v>
      </c>
      <c r="K69" s="23" t="s">
        <v>753</v>
      </c>
      <c r="L69" s="23" t="s">
        <v>712</v>
      </c>
      <c r="M69" s="23" t="s">
        <v>13</v>
      </c>
      <c r="N69" s="23" t="s">
        <v>13</v>
      </c>
      <c r="O69" s="23" t="s">
        <v>20</v>
      </c>
      <c r="P69" s="23">
        <v>961.33</v>
      </c>
      <c r="Q69" s="23" t="s">
        <v>582</v>
      </c>
      <c r="R69" s="23">
        <v>1081.5</v>
      </c>
      <c r="S69" s="23" t="s">
        <v>1131</v>
      </c>
      <c r="T69" s="23">
        <v>355</v>
      </c>
      <c r="U69" s="23" t="s">
        <v>673</v>
      </c>
      <c r="V69" s="24" t="s">
        <v>1134</v>
      </c>
    </row>
    <row r="70" spans="1:22" x14ac:dyDescent="0.3">
      <c r="A70" s="17">
        <v>69</v>
      </c>
      <c r="B70" s="23" t="s">
        <v>1191</v>
      </c>
      <c r="C70" s="23" t="s">
        <v>1204</v>
      </c>
      <c r="D70" s="7">
        <v>4.5</v>
      </c>
      <c r="E70" s="23" t="s">
        <v>1105</v>
      </c>
      <c r="F70" s="7">
        <v>90</v>
      </c>
      <c r="G70" s="6" t="s">
        <v>1105</v>
      </c>
      <c r="H70" s="23" t="s">
        <v>1129</v>
      </c>
      <c r="I70" s="23" t="s">
        <v>13</v>
      </c>
      <c r="J70" s="7">
        <v>30500</v>
      </c>
      <c r="K70" s="23" t="s">
        <v>753</v>
      </c>
      <c r="L70" s="23" t="s">
        <v>712</v>
      </c>
      <c r="M70" s="23" t="s">
        <v>13</v>
      </c>
      <c r="N70" s="23" t="s">
        <v>13</v>
      </c>
      <c r="O70" s="23" t="s">
        <v>20</v>
      </c>
      <c r="P70" s="23">
        <v>1272.3499999999999</v>
      </c>
      <c r="Q70" s="23" t="s">
        <v>582</v>
      </c>
      <c r="R70" s="23">
        <v>1431.39</v>
      </c>
      <c r="S70" s="23" t="s">
        <v>1131</v>
      </c>
      <c r="T70" s="23">
        <v>500</v>
      </c>
      <c r="U70" s="23" t="s">
        <v>673</v>
      </c>
      <c r="V70" s="24" t="s">
        <v>1134</v>
      </c>
    </row>
    <row r="71" spans="1:22" x14ac:dyDescent="0.3">
      <c r="A71" s="17">
        <v>70</v>
      </c>
      <c r="B71" s="23" t="s">
        <v>1191</v>
      </c>
      <c r="C71" s="23" t="s">
        <v>1205</v>
      </c>
      <c r="D71" s="7">
        <v>4.5999999999999996</v>
      </c>
      <c r="E71" s="23" t="s">
        <v>1105</v>
      </c>
      <c r="F71" s="7">
        <v>70</v>
      </c>
      <c r="G71" s="6" t="s">
        <v>1105</v>
      </c>
      <c r="H71" s="23" t="s">
        <v>1129</v>
      </c>
      <c r="I71" s="23" t="s">
        <v>13</v>
      </c>
      <c r="J71" s="7">
        <v>32500</v>
      </c>
      <c r="K71" s="23" t="s">
        <v>753</v>
      </c>
      <c r="L71" s="23" t="s">
        <v>712</v>
      </c>
      <c r="M71" s="23" t="s">
        <v>13</v>
      </c>
      <c r="N71" s="23" t="s">
        <v>13</v>
      </c>
      <c r="O71" s="23" t="s">
        <v>20</v>
      </c>
      <c r="P71" s="23">
        <v>1011.6</v>
      </c>
      <c r="Q71" s="23" t="s">
        <v>582</v>
      </c>
      <c r="R71" s="23">
        <v>1163.3399999999999</v>
      </c>
      <c r="S71" s="23" t="s">
        <v>1131</v>
      </c>
      <c r="T71" s="23">
        <v>400</v>
      </c>
      <c r="U71" s="23" t="s">
        <v>673</v>
      </c>
      <c r="V71" s="24" t="s">
        <v>1134</v>
      </c>
    </row>
    <row r="72" spans="1:22" x14ac:dyDescent="0.3">
      <c r="A72" s="17">
        <v>71</v>
      </c>
      <c r="B72" s="23" t="s">
        <v>1191</v>
      </c>
      <c r="C72" s="23" t="s">
        <v>1206</v>
      </c>
      <c r="D72" s="7">
        <v>4.5999999999999996</v>
      </c>
      <c r="E72" s="23" t="s">
        <v>1105</v>
      </c>
      <c r="F72" s="7">
        <v>92</v>
      </c>
      <c r="G72" s="6" t="s">
        <v>1105</v>
      </c>
      <c r="H72" s="23" t="s">
        <v>1129</v>
      </c>
      <c r="I72" s="23" t="s">
        <v>13</v>
      </c>
      <c r="J72" s="7">
        <v>32500</v>
      </c>
      <c r="K72" s="23" t="s">
        <v>753</v>
      </c>
      <c r="L72" s="23" t="s">
        <v>712</v>
      </c>
      <c r="M72" s="23" t="s">
        <v>13</v>
      </c>
      <c r="N72" s="23" t="s">
        <v>13</v>
      </c>
      <c r="O72" s="23" t="s">
        <v>20</v>
      </c>
      <c r="P72" s="23">
        <v>1329.53</v>
      </c>
      <c r="Q72" s="23" t="s">
        <v>582</v>
      </c>
      <c r="R72" s="23">
        <v>1528.96</v>
      </c>
      <c r="S72" s="23" t="s">
        <v>1131</v>
      </c>
      <c r="T72" s="23">
        <v>560</v>
      </c>
      <c r="U72" s="23" t="s">
        <v>673</v>
      </c>
      <c r="V72" s="24" t="s">
        <v>1134</v>
      </c>
    </row>
    <row r="73" spans="1:22" x14ac:dyDescent="0.3">
      <c r="A73" s="17">
        <v>72</v>
      </c>
      <c r="B73" s="23" t="s">
        <v>1191</v>
      </c>
      <c r="C73" s="23" t="s">
        <v>1207</v>
      </c>
      <c r="D73" s="7">
        <v>5</v>
      </c>
      <c r="E73" s="23" t="s">
        <v>1105</v>
      </c>
      <c r="F73" s="7">
        <v>75</v>
      </c>
      <c r="G73" s="6" t="s">
        <v>1105</v>
      </c>
      <c r="H73" s="23" t="s">
        <v>1129</v>
      </c>
      <c r="I73" s="23" t="s">
        <v>13</v>
      </c>
      <c r="J73" s="7">
        <v>37500</v>
      </c>
      <c r="K73" s="23" t="s">
        <v>753</v>
      </c>
      <c r="L73" s="23" t="s">
        <v>712</v>
      </c>
      <c r="M73" s="23" t="s">
        <v>13</v>
      </c>
      <c r="N73" s="23" t="s">
        <v>13</v>
      </c>
      <c r="O73" s="23" t="s">
        <v>20</v>
      </c>
      <c r="P73" s="23">
        <v>1178.0999999999999</v>
      </c>
      <c r="Q73" s="23" t="s">
        <v>582</v>
      </c>
      <c r="R73" s="23">
        <v>1472.6299999999999</v>
      </c>
      <c r="S73" s="23" t="s">
        <v>1131</v>
      </c>
      <c r="T73" s="23">
        <v>450</v>
      </c>
      <c r="U73" s="23" t="s">
        <v>673</v>
      </c>
      <c r="V73" s="24" t="s">
        <v>1134</v>
      </c>
    </row>
    <row r="74" spans="1:22" x14ac:dyDescent="0.3">
      <c r="A74" s="17">
        <v>73</v>
      </c>
      <c r="B74" s="23" t="s">
        <v>1191</v>
      </c>
      <c r="C74" s="23" t="s">
        <v>1208</v>
      </c>
      <c r="D74" s="7">
        <v>5</v>
      </c>
      <c r="E74" s="23" t="s">
        <v>1105</v>
      </c>
      <c r="F74" s="7">
        <v>110</v>
      </c>
      <c r="G74" s="6" t="s">
        <v>1105</v>
      </c>
      <c r="H74" s="23" t="s">
        <v>1129</v>
      </c>
      <c r="I74" s="23" t="s">
        <v>13</v>
      </c>
      <c r="J74" s="7">
        <v>37500</v>
      </c>
      <c r="K74" s="23" t="s">
        <v>753</v>
      </c>
      <c r="L74" s="23" t="s">
        <v>712</v>
      </c>
      <c r="M74" s="23" t="s">
        <v>13</v>
      </c>
      <c r="N74" s="23" t="s">
        <v>13</v>
      </c>
      <c r="O74" s="23" t="s">
        <v>20</v>
      </c>
      <c r="P74" s="23">
        <v>1727.8799999999999</v>
      </c>
      <c r="Q74" s="23" t="s">
        <v>582</v>
      </c>
      <c r="R74" s="23">
        <v>2159.8500000000004</v>
      </c>
      <c r="S74" s="23" t="s">
        <v>1131</v>
      </c>
      <c r="T74" s="23">
        <v>630</v>
      </c>
      <c r="U74" s="23" t="s">
        <v>673</v>
      </c>
      <c r="V74" s="24" t="s">
        <v>1134</v>
      </c>
    </row>
    <row r="75" spans="1:22" x14ac:dyDescent="0.3">
      <c r="A75" s="17">
        <v>74</v>
      </c>
      <c r="B75" s="23" t="s">
        <v>1191</v>
      </c>
      <c r="C75" s="23" t="s">
        <v>1209</v>
      </c>
      <c r="D75" s="7">
        <v>5.2</v>
      </c>
      <c r="E75" s="23" t="s">
        <v>1105</v>
      </c>
      <c r="F75" s="7">
        <v>80</v>
      </c>
      <c r="G75" s="6" t="s">
        <v>1105</v>
      </c>
      <c r="H75" s="23" t="s">
        <v>1129</v>
      </c>
      <c r="I75" s="23" t="s">
        <v>13</v>
      </c>
      <c r="J75" s="7">
        <v>42500</v>
      </c>
      <c r="K75" s="23" t="s">
        <v>753</v>
      </c>
      <c r="L75" s="23" t="s">
        <v>712</v>
      </c>
      <c r="M75" s="23" t="s">
        <v>13</v>
      </c>
      <c r="N75" s="23" t="s">
        <v>13</v>
      </c>
      <c r="O75" s="23" t="s">
        <v>20</v>
      </c>
      <c r="P75" s="23">
        <v>1306.9100000000001</v>
      </c>
      <c r="Q75" s="23" t="s">
        <v>582</v>
      </c>
      <c r="R75" s="23">
        <v>1698.98</v>
      </c>
      <c r="S75" s="23" t="s">
        <v>1131</v>
      </c>
      <c r="T75" s="23">
        <v>500</v>
      </c>
      <c r="U75" s="23" t="s">
        <v>673</v>
      </c>
      <c r="V75" s="24" t="s">
        <v>1134</v>
      </c>
    </row>
    <row r="76" spans="1:22" x14ac:dyDescent="0.3">
      <c r="A76" s="17">
        <v>75</v>
      </c>
      <c r="B76" s="23" t="s">
        <v>1191</v>
      </c>
      <c r="C76" s="23" t="s">
        <v>1210</v>
      </c>
      <c r="D76" s="7">
        <v>5.2</v>
      </c>
      <c r="E76" s="23" t="s">
        <v>1105</v>
      </c>
      <c r="F76" s="7">
        <v>115</v>
      </c>
      <c r="G76" s="6" t="s">
        <v>1105</v>
      </c>
      <c r="H76" s="23" t="s">
        <v>1129</v>
      </c>
      <c r="I76" s="23" t="s">
        <v>13</v>
      </c>
      <c r="J76" s="7">
        <v>42500</v>
      </c>
      <c r="K76" s="23" t="s">
        <v>753</v>
      </c>
      <c r="L76" s="23" t="s">
        <v>712</v>
      </c>
      <c r="M76" s="23" t="s">
        <v>13</v>
      </c>
      <c r="N76" s="23" t="s">
        <v>13</v>
      </c>
      <c r="O76" s="23" t="s">
        <v>20</v>
      </c>
      <c r="P76" s="23">
        <v>1878.68</v>
      </c>
      <c r="Q76" s="23" t="s">
        <v>582</v>
      </c>
      <c r="R76" s="23">
        <v>2442.2800000000002</v>
      </c>
      <c r="S76" s="23" t="s">
        <v>1131</v>
      </c>
      <c r="T76" s="23">
        <v>710</v>
      </c>
      <c r="U76" s="23" t="s">
        <v>673</v>
      </c>
      <c r="V76" s="24" t="s">
        <v>1134</v>
      </c>
    </row>
    <row r="77" spans="1:22" x14ac:dyDescent="0.3">
      <c r="A77" s="17">
        <v>76</v>
      </c>
      <c r="B77" s="23" t="s">
        <v>1211</v>
      </c>
      <c r="C77" s="23" t="s">
        <v>1212</v>
      </c>
      <c r="D77" s="7">
        <v>1.6</v>
      </c>
      <c r="E77" s="23" t="s">
        <v>1105</v>
      </c>
      <c r="F77" s="7">
        <v>36</v>
      </c>
      <c r="G77" s="6" t="s">
        <v>1105</v>
      </c>
      <c r="H77" s="23" t="s">
        <v>1129</v>
      </c>
      <c r="I77" s="23" t="s">
        <v>13</v>
      </c>
      <c r="J77" s="7">
        <v>1550</v>
      </c>
      <c r="K77" s="23" t="s">
        <v>753</v>
      </c>
      <c r="L77" s="23" t="s">
        <v>712</v>
      </c>
      <c r="M77" s="23" t="s">
        <v>13</v>
      </c>
      <c r="N77" s="23" t="s">
        <v>13</v>
      </c>
      <c r="O77" s="23" t="s">
        <v>20</v>
      </c>
      <c r="P77" s="23">
        <v>180.95999999999998</v>
      </c>
      <c r="Q77" s="23" t="s">
        <v>582</v>
      </c>
      <c r="R77" s="23">
        <v>72.39</v>
      </c>
      <c r="S77" s="23" t="s">
        <v>1131</v>
      </c>
      <c r="T77" s="23">
        <v>22</v>
      </c>
      <c r="U77" s="23" t="s">
        <v>673</v>
      </c>
      <c r="V77" s="24" t="s">
        <v>1134</v>
      </c>
    </row>
    <row r="78" spans="1:22" x14ac:dyDescent="0.3">
      <c r="A78" s="17">
        <v>77</v>
      </c>
      <c r="B78" s="23" t="s">
        <v>1211</v>
      </c>
      <c r="C78" s="23" t="s">
        <v>1213</v>
      </c>
      <c r="D78" s="7">
        <v>1.9</v>
      </c>
      <c r="E78" s="23" t="s">
        <v>1105</v>
      </c>
      <c r="F78" s="7">
        <v>39</v>
      </c>
      <c r="G78" s="6" t="s">
        <v>1105</v>
      </c>
      <c r="H78" s="23" t="s">
        <v>1129</v>
      </c>
      <c r="I78" s="23" t="s">
        <v>13</v>
      </c>
      <c r="J78" s="7">
        <v>2500</v>
      </c>
      <c r="K78" s="23" t="s">
        <v>753</v>
      </c>
      <c r="L78" s="23" t="s">
        <v>712</v>
      </c>
      <c r="M78" s="23" t="s">
        <v>13</v>
      </c>
      <c r="N78" s="23" t="s">
        <v>13</v>
      </c>
      <c r="O78" s="23" t="s">
        <v>20</v>
      </c>
      <c r="P78" s="23">
        <v>232.79999999999998</v>
      </c>
      <c r="Q78" s="23" t="s">
        <v>582</v>
      </c>
      <c r="R78" s="23">
        <v>110.58</v>
      </c>
      <c r="S78" s="23" t="s">
        <v>1131</v>
      </c>
      <c r="T78" s="23">
        <v>37</v>
      </c>
      <c r="U78" s="23" t="s">
        <v>673</v>
      </c>
      <c r="V78" s="24" t="s">
        <v>1134</v>
      </c>
    </row>
    <row r="79" spans="1:22" x14ac:dyDescent="0.3">
      <c r="A79" s="17">
        <v>78</v>
      </c>
      <c r="B79" s="23" t="s">
        <v>1211</v>
      </c>
      <c r="C79" s="23" t="s">
        <v>1214</v>
      </c>
      <c r="D79" s="7">
        <v>2</v>
      </c>
      <c r="E79" s="23" t="s">
        <v>1105</v>
      </c>
      <c r="F79" s="7">
        <v>44</v>
      </c>
      <c r="G79" s="6" t="s">
        <v>1105</v>
      </c>
      <c r="H79" s="23" t="s">
        <v>1129</v>
      </c>
      <c r="I79" s="23" t="s">
        <v>13</v>
      </c>
      <c r="J79" s="7">
        <v>3850</v>
      </c>
      <c r="K79" s="23" t="s">
        <v>753</v>
      </c>
      <c r="L79" s="23" t="s">
        <v>712</v>
      </c>
      <c r="M79" s="23" t="s">
        <v>13</v>
      </c>
      <c r="N79" s="23" t="s">
        <v>13</v>
      </c>
      <c r="O79" s="23" t="s">
        <v>20</v>
      </c>
      <c r="P79" s="23">
        <v>276.46999999999997</v>
      </c>
      <c r="Q79" s="23" t="s">
        <v>582</v>
      </c>
      <c r="R79" s="23">
        <v>138.23999999999998</v>
      </c>
      <c r="S79" s="23" t="s">
        <v>1131</v>
      </c>
      <c r="T79" s="23">
        <v>37</v>
      </c>
      <c r="U79" s="23" t="s">
        <v>673</v>
      </c>
      <c r="V79" s="24" t="s">
        <v>1134</v>
      </c>
    </row>
    <row r="80" spans="1:22" x14ac:dyDescent="0.3">
      <c r="A80" s="17">
        <v>79</v>
      </c>
      <c r="B80" s="23" t="s">
        <v>1211</v>
      </c>
      <c r="C80" s="23" t="s">
        <v>1215</v>
      </c>
      <c r="D80" s="7">
        <v>2.2000000000000002</v>
      </c>
      <c r="E80" s="23" t="s">
        <v>1105</v>
      </c>
      <c r="F80" s="7">
        <v>45</v>
      </c>
      <c r="G80" s="6" t="s">
        <v>1105</v>
      </c>
      <c r="H80" s="23" t="s">
        <v>1129</v>
      </c>
      <c r="I80" s="23" t="s">
        <v>13</v>
      </c>
      <c r="J80" s="7">
        <v>4250</v>
      </c>
      <c r="K80" s="23" t="s">
        <v>753</v>
      </c>
      <c r="L80" s="23" t="s">
        <v>712</v>
      </c>
      <c r="M80" s="23" t="s">
        <v>13</v>
      </c>
      <c r="N80" s="23" t="s">
        <v>13</v>
      </c>
      <c r="O80" s="23" t="s">
        <v>20</v>
      </c>
      <c r="P80" s="23">
        <v>311.02</v>
      </c>
      <c r="Q80" s="23" t="s">
        <v>582</v>
      </c>
      <c r="R80" s="23">
        <v>171.06</v>
      </c>
      <c r="S80" s="23" t="s">
        <v>1131</v>
      </c>
      <c r="T80" s="23">
        <v>45</v>
      </c>
      <c r="U80" s="23" t="s">
        <v>673</v>
      </c>
      <c r="V80" s="24" t="s">
        <v>1134</v>
      </c>
    </row>
    <row r="81" spans="1:22" x14ac:dyDescent="0.3">
      <c r="A81" s="17">
        <v>80</v>
      </c>
      <c r="B81" s="23" t="s">
        <v>1211</v>
      </c>
      <c r="C81" s="23" t="s">
        <v>1216</v>
      </c>
      <c r="D81" s="7">
        <v>2.8</v>
      </c>
      <c r="E81" s="23" t="s">
        <v>1105</v>
      </c>
      <c r="F81" s="7">
        <v>20</v>
      </c>
      <c r="G81" s="6" t="s">
        <v>1105</v>
      </c>
      <c r="H81" s="23" t="s">
        <v>1129</v>
      </c>
      <c r="I81" s="23" t="s">
        <v>13</v>
      </c>
      <c r="J81" s="7">
        <v>15000</v>
      </c>
      <c r="K81" s="23" t="s">
        <v>753</v>
      </c>
      <c r="L81" s="23" t="s">
        <v>712</v>
      </c>
      <c r="M81" s="23" t="s">
        <v>13</v>
      </c>
      <c r="N81" s="23" t="s">
        <v>13</v>
      </c>
      <c r="O81" s="23" t="s">
        <v>20</v>
      </c>
      <c r="P81" s="23">
        <v>175.92999999999998</v>
      </c>
      <c r="Q81" s="23" t="s">
        <v>582</v>
      </c>
      <c r="R81" s="23">
        <v>123.16000000000001</v>
      </c>
      <c r="S81" s="23" t="s">
        <v>1131</v>
      </c>
      <c r="T81" s="23">
        <v>75</v>
      </c>
      <c r="U81" s="23" t="s">
        <v>673</v>
      </c>
      <c r="V81" s="24" t="s">
        <v>1134</v>
      </c>
    </row>
    <row r="82" spans="1:22" x14ac:dyDescent="0.3">
      <c r="A82" s="17">
        <v>81</v>
      </c>
      <c r="B82" s="23" t="s">
        <v>1211</v>
      </c>
      <c r="C82" s="23" t="s">
        <v>1217</v>
      </c>
      <c r="D82" s="7">
        <v>3</v>
      </c>
      <c r="E82" s="23" t="s">
        <v>1105</v>
      </c>
      <c r="F82" s="7">
        <v>28</v>
      </c>
      <c r="G82" s="6" t="s">
        <v>1105</v>
      </c>
      <c r="H82" s="23" t="s">
        <v>1129</v>
      </c>
      <c r="I82" s="23" t="s">
        <v>13</v>
      </c>
      <c r="J82" s="7">
        <v>18000</v>
      </c>
      <c r="K82" s="23" t="s">
        <v>753</v>
      </c>
      <c r="L82" s="23" t="s">
        <v>712</v>
      </c>
      <c r="M82" s="23" t="s">
        <v>13</v>
      </c>
      <c r="N82" s="23" t="s">
        <v>13</v>
      </c>
      <c r="O82" s="23" t="s">
        <v>20</v>
      </c>
      <c r="P82" s="23">
        <v>263.89999999999998</v>
      </c>
      <c r="Q82" s="23" t="s">
        <v>582</v>
      </c>
      <c r="R82" s="23">
        <v>197.92999999999998</v>
      </c>
      <c r="S82" s="23" t="s">
        <v>1131</v>
      </c>
      <c r="T82" s="23">
        <v>75</v>
      </c>
      <c r="U82" s="23" t="s">
        <v>673</v>
      </c>
      <c r="V82" s="24" t="s">
        <v>1134</v>
      </c>
    </row>
    <row r="83" spans="1:22" x14ac:dyDescent="0.3">
      <c r="A83" s="17">
        <v>82</v>
      </c>
      <c r="B83" s="23" t="s">
        <v>1211</v>
      </c>
      <c r="C83" s="23" t="s">
        <v>1218</v>
      </c>
      <c r="D83" s="7">
        <v>3</v>
      </c>
      <c r="E83" s="23" t="s">
        <v>1105</v>
      </c>
      <c r="F83" s="7">
        <v>60</v>
      </c>
      <c r="G83" s="6" t="s">
        <v>1105</v>
      </c>
      <c r="H83" s="23" t="s">
        <v>1129</v>
      </c>
      <c r="I83" s="23" t="s">
        <v>13</v>
      </c>
      <c r="J83" s="7">
        <v>18000</v>
      </c>
      <c r="K83" s="23" t="s">
        <v>753</v>
      </c>
      <c r="L83" s="23" t="s">
        <v>712</v>
      </c>
      <c r="M83" s="23" t="s">
        <v>13</v>
      </c>
      <c r="N83" s="23" t="s">
        <v>13</v>
      </c>
      <c r="O83" s="23" t="s">
        <v>20</v>
      </c>
      <c r="P83" s="23">
        <v>565.49</v>
      </c>
      <c r="Q83" s="23" t="s">
        <v>582</v>
      </c>
      <c r="R83" s="23">
        <v>424.12</v>
      </c>
      <c r="S83" s="23" t="s">
        <v>1131</v>
      </c>
      <c r="T83" s="23">
        <v>90</v>
      </c>
      <c r="U83" s="23" t="s">
        <v>673</v>
      </c>
      <c r="V83" s="24" t="s">
        <v>1134</v>
      </c>
    </row>
    <row r="84" spans="1:22" x14ac:dyDescent="0.3">
      <c r="A84" s="17">
        <v>83</v>
      </c>
      <c r="B84" s="23" t="s">
        <v>1211</v>
      </c>
      <c r="C84" s="23" t="s">
        <v>1219</v>
      </c>
      <c r="D84" s="7">
        <v>3.2</v>
      </c>
      <c r="E84" s="23" t="s">
        <v>1105</v>
      </c>
      <c r="F84" s="7">
        <v>26</v>
      </c>
      <c r="G84" s="6" t="s">
        <v>1105</v>
      </c>
      <c r="H84" s="23" t="s">
        <v>1129</v>
      </c>
      <c r="I84" s="23" t="s">
        <v>13</v>
      </c>
      <c r="J84" s="7">
        <v>22000</v>
      </c>
      <c r="K84" s="23" t="s">
        <v>753</v>
      </c>
      <c r="L84" s="23" t="s">
        <v>712</v>
      </c>
      <c r="M84" s="23" t="s">
        <v>13</v>
      </c>
      <c r="N84" s="23" t="s">
        <v>13</v>
      </c>
      <c r="O84" s="23" t="s">
        <v>20</v>
      </c>
      <c r="P84" s="23">
        <v>261.39</v>
      </c>
      <c r="Q84" s="23" t="s">
        <v>582</v>
      </c>
      <c r="R84" s="23">
        <v>209.10999999999999</v>
      </c>
      <c r="S84" s="23" t="s">
        <v>1131</v>
      </c>
      <c r="T84" s="23">
        <v>90</v>
      </c>
      <c r="U84" s="23" t="s">
        <v>673</v>
      </c>
      <c r="V84" s="24" t="s">
        <v>1134</v>
      </c>
    </row>
    <row r="85" spans="1:22" x14ac:dyDescent="0.3">
      <c r="A85" s="17">
        <v>84</v>
      </c>
      <c r="B85" s="23" t="s">
        <v>1211</v>
      </c>
      <c r="C85" s="23" t="s">
        <v>1220</v>
      </c>
      <c r="D85" s="7">
        <v>3.2</v>
      </c>
      <c r="E85" s="23" t="s">
        <v>1105</v>
      </c>
      <c r="F85" s="7">
        <v>55</v>
      </c>
      <c r="G85" s="6" t="s">
        <v>1105</v>
      </c>
      <c r="H85" s="23" t="s">
        <v>1129</v>
      </c>
      <c r="I85" s="23" t="s">
        <v>13</v>
      </c>
      <c r="J85" s="7">
        <v>17000</v>
      </c>
      <c r="K85" s="23" t="s">
        <v>753</v>
      </c>
      <c r="L85" s="23" t="s">
        <v>712</v>
      </c>
      <c r="M85" s="23" t="s">
        <v>13</v>
      </c>
      <c r="N85" s="23" t="s">
        <v>13</v>
      </c>
      <c r="O85" s="23" t="s">
        <v>20</v>
      </c>
      <c r="P85" s="23">
        <v>552.92999999999995</v>
      </c>
      <c r="Q85" s="23" t="s">
        <v>582</v>
      </c>
      <c r="R85" s="23">
        <v>442.34</v>
      </c>
      <c r="S85" s="23" t="s">
        <v>1131</v>
      </c>
      <c r="T85" s="23">
        <v>110</v>
      </c>
      <c r="U85" s="23" t="s">
        <v>673</v>
      </c>
      <c r="V85" s="24" t="s">
        <v>1134</v>
      </c>
    </row>
    <row r="86" spans="1:22" x14ac:dyDescent="0.3">
      <c r="A86" s="17">
        <v>85</v>
      </c>
      <c r="B86" s="23" t="s">
        <v>1211</v>
      </c>
      <c r="C86" s="23" t="s">
        <v>1221</v>
      </c>
      <c r="D86" s="7">
        <v>3.5</v>
      </c>
      <c r="E86" s="23" t="s">
        <v>1105</v>
      </c>
      <c r="F86" s="7">
        <v>29</v>
      </c>
      <c r="G86" s="6" t="s">
        <v>1105</v>
      </c>
      <c r="H86" s="23" t="s">
        <v>1129</v>
      </c>
      <c r="I86" s="23" t="s">
        <v>13</v>
      </c>
      <c r="J86" s="7">
        <v>34000</v>
      </c>
      <c r="K86" s="23" t="s">
        <v>753</v>
      </c>
      <c r="L86" s="23" t="s">
        <v>712</v>
      </c>
      <c r="M86" s="23" t="s">
        <v>13</v>
      </c>
      <c r="N86" s="23" t="s">
        <v>13</v>
      </c>
      <c r="O86" s="23" t="s">
        <v>20</v>
      </c>
      <c r="P86" s="23">
        <v>318.88</v>
      </c>
      <c r="Q86" s="23" t="s">
        <v>582</v>
      </c>
      <c r="R86" s="23">
        <v>279.02</v>
      </c>
      <c r="S86" s="23" t="s">
        <v>1131</v>
      </c>
      <c r="T86" s="23">
        <v>110</v>
      </c>
      <c r="U86" s="23" t="s">
        <v>673</v>
      </c>
      <c r="V86" s="24" t="s">
        <v>1134</v>
      </c>
    </row>
    <row r="87" spans="1:22" x14ac:dyDescent="0.3">
      <c r="A87" s="17">
        <v>86</v>
      </c>
      <c r="B87" s="23" t="s">
        <v>1211</v>
      </c>
      <c r="C87" s="23" t="s">
        <v>1222</v>
      </c>
      <c r="D87" s="7">
        <v>3.5</v>
      </c>
      <c r="E87" s="23" t="s">
        <v>1105</v>
      </c>
      <c r="F87" s="7">
        <v>60</v>
      </c>
      <c r="G87" s="6" t="s">
        <v>1105</v>
      </c>
      <c r="H87" s="23" t="s">
        <v>1129</v>
      </c>
      <c r="I87" s="23" t="s">
        <v>13</v>
      </c>
      <c r="J87" s="7">
        <v>34000</v>
      </c>
      <c r="K87" s="23" t="s">
        <v>753</v>
      </c>
      <c r="L87" s="23" t="s">
        <v>712</v>
      </c>
      <c r="M87" s="23" t="s">
        <v>13</v>
      </c>
      <c r="N87" s="23" t="s">
        <v>13</v>
      </c>
      <c r="O87" s="23" t="s">
        <v>20</v>
      </c>
      <c r="P87" s="23">
        <v>659.74</v>
      </c>
      <c r="Q87" s="23" t="s">
        <v>582</v>
      </c>
      <c r="R87" s="23">
        <v>577.27</v>
      </c>
      <c r="S87" s="23" t="s">
        <v>1131</v>
      </c>
      <c r="T87" s="23">
        <v>125</v>
      </c>
      <c r="U87" s="23" t="s">
        <v>673</v>
      </c>
      <c r="V87" s="24" t="s">
        <v>1134</v>
      </c>
    </row>
    <row r="88" spans="1:22" x14ac:dyDescent="0.3">
      <c r="A88" s="17">
        <v>87</v>
      </c>
      <c r="B88" s="23" t="s">
        <v>1211</v>
      </c>
      <c r="C88" s="23" t="s">
        <v>1223</v>
      </c>
      <c r="D88" s="7">
        <v>4</v>
      </c>
      <c r="E88" s="23" t="s">
        <v>1105</v>
      </c>
      <c r="F88" s="7">
        <v>30</v>
      </c>
      <c r="G88" s="6" t="s">
        <v>1105</v>
      </c>
      <c r="H88" s="23" t="s">
        <v>1129</v>
      </c>
      <c r="I88" s="23" t="s">
        <v>13</v>
      </c>
      <c r="J88" s="7">
        <v>61000</v>
      </c>
      <c r="K88" s="23" t="s">
        <v>753</v>
      </c>
      <c r="L88" s="23" t="s">
        <v>712</v>
      </c>
      <c r="M88" s="23" t="s">
        <v>13</v>
      </c>
      <c r="N88" s="23" t="s">
        <v>13</v>
      </c>
      <c r="O88" s="23" t="s">
        <v>20</v>
      </c>
      <c r="P88" s="23">
        <v>377</v>
      </c>
      <c r="Q88" s="23" t="s">
        <v>582</v>
      </c>
      <c r="R88" s="23">
        <v>377</v>
      </c>
      <c r="S88" s="23" t="s">
        <v>1131</v>
      </c>
      <c r="T88" s="23">
        <v>160</v>
      </c>
      <c r="U88" s="23" t="s">
        <v>673</v>
      </c>
      <c r="V88" s="24" t="s">
        <v>1134</v>
      </c>
    </row>
    <row r="89" spans="1:22" x14ac:dyDescent="0.3">
      <c r="A89" s="17">
        <v>88</v>
      </c>
      <c r="B89" s="23" t="s">
        <v>1211</v>
      </c>
      <c r="C89" s="23" t="s">
        <v>1224</v>
      </c>
      <c r="D89" s="7">
        <v>4</v>
      </c>
      <c r="E89" s="23" t="s">
        <v>1105</v>
      </c>
      <c r="F89" s="7">
        <v>60</v>
      </c>
      <c r="G89" s="6" t="s">
        <v>1105</v>
      </c>
      <c r="H89" s="23" t="s">
        <v>1129</v>
      </c>
      <c r="I89" s="23" t="s">
        <v>13</v>
      </c>
      <c r="J89" s="7">
        <v>66000</v>
      </c>
      <c r="K89" s="23" t="s">
        <v>753</v>
      </c>
      <c r="L89" s="23" t="s">
        <v>712</v>
      </c>
      <c r="M89" s="23" t="s">
        <v>13</v>
      </c>
      <c r="N89" s="23" t="s">
        <v>13</v>
      </c>
      <c r="O89" s="23" t="s">
        <v>20</v>
      </c>
      <c r="P89" s="23">
        <v>753.99</v>
      </c>
      <c r="Q89" s="23" t="s">
        <v>582</v>
      </c>
      <c r="R89" s="23">
        <v>753.99</v>
      </c>
      <c r="S89" s="23" t="s">
        <v>1131</v>
      </c>
      <c r="T89" s="23">
        <v>315</v>
      </c>
      <c r="U89" s="23" t="s">
        <v>673</v>
      </c>
      <c r="V89" s="24" t="s">
        <v>1134</v>
      </c>
    </row>
    <row r="90" spans="1:22" x14ac:dyDescent="0.3">
      <c r="A90" s="17">
        <v>89</v>
      </c>
      <c r="B90" s="23" t="s">
        <v>1211</v>
      </c>
      <c r="C90" s="23" t="s">
        <v>1225</v>
      </c>
      <c r="D90" s="7">
        <v>4.2</v>
      </c>
      <c r="E90" s="23" t="s">
        <v>1105</v>
      </c>
      <c r="F90" s="7">
        <v>62</v>
      </c>
      <c r="G90" s="6" t="s">
        <v>1105</v>
      </c>
      <c r="H90" s="23" t="s">
        <v>1129</v>
      </c>
      <c r="I90" s="23" t="s">
        <v>13</v>
      </c>
      <c r="J90" s="7">
        <v>92500</v>
      </c>
      <c r="K90" s="23" t="s">
        <v>753</v>
      </c>
      <c r="L90" s="23" t="s">
        <v>712</v>
      </c>
      <c r="M90" s="23" t="s">
        <v>13</v>
      </c>
      <c r="N90" s="23" t="s">
        <v>13</v>
      </c>
      <c r="O90" s="23" t="s">
        <v>20</v>
      </c>
      <c r="P90" s="23">
        <v>818.08</v>
      </c>
      <c r="Q90" s="23" t="s">
        <v>582</v>
      </c>
      <c r="R90" s="23">
        <v>858.98</v>
      </c>
      <c r="S90" s="23" t="s">
        <v>1131</v>
      </c>
      <c r="T90" s="23">
        <v>315</v>
      </c>
      <c r="U90" s="23" t="s">
        <v>673</v>
      </c>
      <c r="V90" s="24" t="s">
        <v>1134</v>
      </c>
    </row>
    <row r="91" spans="1:22" x14ac:dyDescent="0.3">
      <c r="A91" s="17">
        <v>90</v>
      </c>
      <c r="B91" s="23" t="s">
        <v>1211</v>
      </c>
      <c r="C91" s="23" t="s">
        <v>1226</v>
      </c>
      <c r="D91" s="7">
        <v>4.5</v>
      </c>
      <c r="E91" s="23" t="s">
        <v>1105</v>
      </c>
      <c r="F91" s="7">
        <v>65</v>
      </c>
      <c r="G91" s="6" t="s">
        <v>1105</v>
      </c>
      <c r="H91" s="23" t="s">
        <v>1129</v>
      </c>
      <c r="I91" s="23" t="s">
        <v>13</v>
      </c>
      <c r="J91" s="7">
        <v>107500</v>
      </c>
      <c r="K91" s="23" t="s">
        <v>753</v>
      </c>
      <c r="L91" s="23" t="s">
        <v>712</v>
      </c>
      <c r="M91" s="23" t="s">
        <v>13</v>
      </c>
      <c r="N91" s="23" t="s">
        <v>13</v>
      </c>
      <c r="O91" s="23" t="s">
        <v>20</v>
      </c>
      <c r="P91" s="23">
        <v>918.92</v>
      </c>
      <c r="Q91" s="23" t="s">
        <v>582</v>
      </c>
      <c r="R91" s="23">
        <v>1033.79</v>
      </c>
      <c r="S91" s="23" t="s">
        <v>1131</v>
      </c>
      <c r="T91" s="23">
        <v>420</v>
      </c>
      <c r="U91" s="23" t="s">
        <v>673</v>
      </c>
      <c r="V91" s="24" t="s">
        <v>1134</v>
      </c>
    </row>
    <row r="92" spans="1:22" x14ac:dyDescent="0.3">
      <c r="A92" s="17">
        <v>91</v>
      </c>
      <c r="B92" s="23" t="s">
        <v>1211</v>
      </c>
      <c r="C92" s="23" t="s">
        <v>1227</v>
      </c>
      <c r="D92" s="7">
        <v>4.7</v>
      </c>
      <c r="E92" s="23" t="s">
        <v>1105</v>
      </c>
      <c r="F92" s="7">
        <v>72</v>
      </c>
      <c r="G92" s="6" t="s">
        <v>1105</v>
      </c>
      <c r="H92" s="23" t="s">
        <v>1129</v>
      </c>
      <c r="I92" s="23" t="s">
        <v>13</v>
      </c>
      <c r="J92" s="7">
        <v>170000</v>
      </c>
      <c r="K92" s="23" t="s">
        <v>753</v>
      </c>
      <c r="L92" s="23" t="s">
        <v>712</v>
      </c>
      <c r="M92" s="23" t="s">
        <v>13</v>
      </c>
      <c r="N92" s="23" t="s">
        <v>13</v>
      </c>
      <c r="O92" s="23" t="s">
        <v>20</v>
      </c>
      <c r="P92" s="23">
        <v>1063.1199999999999</v>
      </c>
      <c r="Q92" s="23" t="s">
        <v>582</v>
      </c>
      <c r="R92" s="23">
        <v>1249.17</v>
      </c>
      <c r="S92" s="23" t="s">
        <v>1131</v>
      </c>
      <c r="T92" s="23">
        <v>550</v>
      </c>
      <c r="U92" s="23" t="s">
        <v>673</v>
      </c>
      <c r="V92" s="24" t="s">
        <v>1134</v>
      </c>
    </row>
    <row r="93" spans="1:22" x14ac:dyDescent="0.3">
      <c r="A93" s="17">
        <v>92</v>
      </c>
      <c r="B93" s="23" t="s">
        <v>1228</v>
      </c>
      <c r="C93" s="23" t="s">
        <v>1164</v>
      </c>
      <c r="D93" s="7">
        <v>2.8</v>
      </c>
      <c r="E93" s="23" t="s">
        <v>1105</v>
      </c>
      <c r="F93" s="7">
        <v>44</v>
      </c>
      <c r="G93" s="6" t="s">
        <v>1105</v>
      </c>
      <c r="H93" s="23" t="s">
        <v>1129</v>
      </c>
      <c r="I93" s="23" t="s">
        <v>13</v>
      </c>
      <c r="J93" s="7">
        <v>400000</v>
      </c>
      <c r="K93" s="23" t="s">
        <v>753</v>
      </c>
      <c r="L93" s="23" t="s">
        <v>712</v>
      </c>
      <c r="M93" s="23" t="s">
        <v>13</v>
      </c>
      <c r="N93" s="23" t="s">
        <v>13</v>
      </c>
      <c r="O93" s="23" t="s">
        <v>20</v>
      </c>
      <c r="P93" s="23">
        <v>387.05</v>
      </c>
      <c r="Q93" s="23" t="s">
        <v>582</v>
      </c>
      <c r="R93" s="23">
        <v>270.94</v>
      </c>
      <c r="S93" s="23" t="s">
        <v>1131</v>
      </c>
      <c r="T93" s="23">
        <v>55</v>
      </c>
      <c r="U93" s="23" t="s">
        <v>673</v>
      </c>
      <c r="V93" s="24" t="s">
        <v>1134</v>
      </c>
    </row>
    <row r="94" spans="1:22" x14ac:dyDescent="0.3">
      <c r="A94" s="17">
        <v>93</v>
      </c>
      <c r="B94" s="23" t="s">
        <v>1228</v>
      </c>
      <c r="C94" s="23" t="s">
        <v>1166</v>
      </c>
      <c r="D94" s="7">
        <v>3</v>
      </c>
      <c r="E94" s="23" t="s">
        <v>1105</v>
      </c>
      <c r="F94" s="7">
        <v>60</v>
      </c>
      <c r="G94" s="6" t="s">
        <v>1105</v>
      </c>
      <c r="H94" s="23" t="s">
        <v>1129</v>
      </c>
      <c r="I94" s="23" t="s">
        <v>13</v>
      </c>
      <c r="J94" s="7">
        <v>300000</v>
      </c>
      <c r="K94" s="23" t="s">
        <v>753</v>
      </c>
      <c r="L94" s="23" t="s">
        <v>712</v>
      </c>
      <c r="M94" s="23" t="s">
        <v>13</v>
      </c>
      <c r="N94" s="23" t="s">
        <v>13</v>
      </c>
      <c r="O94" s="23" t="s">
        <v>20</v>
      </c>
      <c r="P94" s="23">
        <v>565.49</v>
      </c>
      <c r="Q94" s="23" t="s">
        <v>582</v>
      </c>
      <c r="R94" s="23">
        <v>424.12</v>
      </c>
      <c r="S94" s="23" t="s">
        <v>1131</v>
      </c>
      <c r="T94" s="23">
        <v>100</v>
      </c>
      <c r="U94" s="23" t="s">
        <v>673</v>
      </c>
      <c r="V94" s="24" t="s">
        <v>1134</v>
      </c>
    </row>
    <row r="95" spans="1:22" x14ac:dyDescent="0.3">
      <c r="A95" s="17">
        <v>94</v>
      </c>
      <c r="B95" s="23" t="s">
        <v>1229</v>
      </c>
      <c r="C95" s="23" t="s">
        <v>1230</v>
      </c>
      <c r="D95" s="7">
        <v>2.8</v>
      </c>
      <c r="E95" s="23" t="s">
        <v>1105</v>
      </c>
      <c r="F95" s="7">
        <v>50</v>
      </c>
      <c r="G95" s="6" t="s">
        <v>1105</v>
      </c>
      <c r="H95" s="23" t="s">
        <v>1129</v>
      </c>
      <c r="I95" s="23" t="s">
        <v>13</v>
      </c>
      <c r="J95" s="7">
        <v>8500</v>
      </c>
      <c r="K95" s="23" t="s">
        <v>753</v>
      </c>
      <c r="L95" s="23" t="s">
        <v>712</v>
      </c>
      <c r="M95" s="23" t="s">
        <v>13</v>
      </c>
      <c r="N95" s="23" t="s">
        <v>13</v>
      </c>
      <c r="O95" s="23" t="s">
        <v>20</v>
      </c>
      <c r="P95" s="23">
        <v>439.83</v>
      </c>
      <c r="Q95" s="23" t="s">
        <v>582</v>
      </c>
      <c r="R95" s="23">
        <v>307.88</v>
      </c>
      <c r="S95" s="23" t="s">
        <v>1131</v>
      </c>
      <c r="T95" s="23">
        <v>75</v>
      </c>
      <c r="U95" s="23" t="s">
        <v>673</v>
      </c>
      <c r="V95" s="24" t="s">
        <v>1134</v>
      </c>
    </row>
    <row r="96" spans="1:22" x14ac:dyDescent="0.3">
      <c r="A96" s="17">
        <v>95</v>
      </c>
      <c r="B96" s="23" t="s">
        <v>1229</v>
      </c>
      <c r="C96" s="23" t="s">
        <v>1231</v>
      </c>
      <c r="D96" s="7">
        <v>3</v>
      </c>
      <c r="E96" s="23" t="s">
        <v>1105</v>
      </c>
      <c r="F96" s="7">
        <v>55</v>
      </c>
      <c r="G96" s="6" t="s">
        <v>1105</v>
      </c>
      <c r="H96" s="23" t="s">
        <v>1129</v>
      </c>
      <c r="I96" s="23" t="s">
        <v>13</v>
      </c>
      <c r="J96" s="7">
        <v>11000</v>
      </c>
      <c r="K96" s="23" t="s">
        <v>753</v>
      </c>
      <c r="L96" s="23" t="s">
        <v>712</v>
      </c>
      <c r="M96" s="23" t="s">
        <v>13</v>
      </c>
      <c r="N96" s="23" t="s">
        <v>13</v>
      </c>
      <c r="O96" s="23" t="s">
        <v>20</v>
      </c>
      <c r="P96" s="23">
        <v>518.37</v>
      </c>
      <c r="Q96" s="23" t="s">
        <v>582</v>
      </c>
      <c r="R96" s="23">
        <v>388.78</v>
      </c>
      <c r="S96" s="23" t="s">
        <v>1131</v>
      </c>
      <c r="T96" s="23">
        <v>90</v>
      </c>
      <c r="U96" s="23" t="s">
        <v>673</v>
      </c>
      <c r="V96" s="24" t="s">
        <v>1134</v>
      </c>
    </row>
    <row r="97" spans="1:22" x14ac:dyDescent="0.3">
      <c r="A97" s="17">
        <v>96</v>
      </c>
      <c r="B97" s="23" t="s">
        <v>1229</v>
      </c>
      <c r="C97" s="23" t="s">
        <v>1232</v>
      </c>
      <c r="D97" s="7">
        <v>3.2</v>
      </c>
      <c r="E97" s="23" t="s">
        <v>1105</v>
      </c>
      <c r="F97" s="7">
        <v>60</v>
      </c>
      <c r="G97" s="6" t="s">
        <v>1105</v>
      </c>
      <c r="H97" s="23" t="s">
        <v>1129</v>
      </c>
      <c r="I97" s="23" t="s">
        <v>13</v>
      </c>
      <c r="J97" s="7">
        <v>15000</v>
      </c>
      <c r="K97" s="23" t="s">
        <v>753</v>
      </c>
      <c r="L97" s="23" t="s">
        <v>712</v>
      </c>
      <c r="M97" s="23" t="s">
        <v>13</v>
      </c>
      <c r="N97" s="23" t="s">
        <v>13</v>
      </c>
      <c r="O97" s="23" t="s">
        <v>20</v>
      </c>
      <c r="P97" s="23">
        <v>603.18999999999994</v>
      </c>
      <c r="Q97" s="23" t="s">
        <v>582</v>
      </c>
      <c r="R97" s="23">
        <v>482.55</v>
      </c>
      <c r="S97" s="23" t="s">
        <v>1131</v>
      </c>
      <c r="T97" s="23">
        <v>132</v>
      </c>
      <c r="U97" s="23" t="s">
        <v>673</v>
      </c>
      <c r="V97" s="24" t="s">
        <v>1134</v>
      </c>
    </row>
    <row r="98" spans="1:22" x14ac:dyDescent="0.3">
      <c r="A98" s="17">
        <v>97</v>
      </c>
      <c r="B98" s="23" t="s">
        <v>1229</v>
      </c>
      <c r="C98" s="23" t="s">
        <v>1233</v>
      </c>
      <c r="D98" s="7">
        <v>3.6</v>
      </c>
      <c r="E98" s="23" t="s">
        <v>1105</v>
      </c>
      <c r="F98" s="7">
        <v>64</v>
      </c>
      <c r="G98" s="6" t="s">
        <v>1105</v>
      </c>
      <c r="H98" s="23" t="s">
        <v>1129</v>
      </c>
      <c r="I98" s="23" t="s">
        <v>13</v>
      </c>
      <c r="J98" s="7">
        <v>20000</v>
      </c>
      <c r="K98" s="23" t="s">
        <v>753</v>
      </c>
      <c r="L98" s="23" t="s">
        <v>712</v>
      </c>
      <c r="M98" s="23" t="s">
        <v>13</v>
      </c>
      <c r="N98" s="23" t="s">
        <v>13</v>
      </c>
      <c r="O98" s="23" t="s">
        <v>20</v>
      </c>
      <c r="P98" s="23">
        <v>723.83</v>
      </c>
      <c r="Q98" s="23" t="s">
        <v>582</v>
      </c>
      <c r="R98" s="23">
        <v>651.45000000000005</v>
      </c>
      <c r="S98" s="23" t="s">
        <v>1131</v>
      </c>
      <c r="T98" s="23">
        <v>160</v>
      </c>
      <c r="U98" s="23" t="s">
        <v>673</v>
      </c>
      <c r="V98" s="24" t="s">
        <v>1134</v>
      </c>
    </row>
    <row r="99" spans="1:22" x14ac:dyDescent="0.3">
      <c r="A99" s="17">
        <v>98</v>
      </c>
      <c r="B99" s="23" t="s">
        <v>1229</v>
      </c>
      <c r="C99" s="23" t="s">
        <v>1234</v>
      </c>
      <c r="D99" s="7">
        <v>3.8</v>
      </c>
      <c r="E99" s="23" t="s">
        <v>1105</v>
      </c>
      <c r="F99" s="7">
        <v>70</v>
      </c>
      <c r="G99" s="6" t="s">
        <v>1105</v>
      </c>
      <c r="H99" s="23" t="s">
        <v>1129</v>
      </c>
      <c r="I99" s="23" t="s">
        <v>13</v>
      </c>
      <c r="J99" s="7">
        <v>26000</v>
      </c>
      <c r="K99" s="23" t="s">
        <v>753</v>
      </c>
      <c r="L99" s="23" t="s">
        <v>712</v>
      </c>
      <c r="M99" s="23" t="s">
        <v>13</v>
      </c>
      <c r="N99" s="23" t="s">
        <v>13</v>
      </c>
      <c r="O99" s="23" t="s">
        <v>20</v>
      </c>
      <c r="P99" s="23">
        <v>835.67</v>
      </c>
      <c r="Q99" s="23" t="s">
        <v>582</v>
      </c>
      <c r="R99" s="23">
        <v>793.89</v>
      </c>
      <c r="S99" s="23" t="s">
        <v>1131</v>
      </c>
      <c r="T99" s="23">
        <v>200</v>
      </c>
      <c r="U99" s="23" t="s">
        <v>673</v>
      </c>
      <c r="V99" s="24" t="s">
        <v>1134</v>
      </c>
    </row>
    <row r="100" spans="1:22" x14ac:dyDescent="0.3">
      <c r="A100" s="17">
        <v>99</v>
      </c>
      <c r="B100" s="23" t="s">
        <v>1235</v>
      </c>
      <c r="C100" s="23" t="s">
        <v>1236</v>
      </c>
      <c r="D100" s="7">
        <v>2.2000000000000002</v>
      </c>
      <c r="E100" s="23" t="s">
        <v>1105</v>
      </c>
      <c r="F100" s="7">
        <v>38</v>
      </c>
      <c r="G100" s="6" t="s">
        <v>1105</v>
      </c>
      <c r="H100" s="23" t="s">
        <v>1129</v>
      </c>
      <c r="I100" s="23" t="s">
        <v>13</v>
      </c>
      <c r="J100" s="7">
        <v>6250</v>
      </c>
      <c r="K100" s="23" t="s">
        <v>753</v>
      </c>
      <c r="L100" s="23" t="s">
        <v>712</v>
      </c>
      <c r="M100" s="23" t="s">
        <v>13</v>
      </c>
      <c r="N100" s="23" t="s">
        <v>13</v>
      </c>
      <c r="O100" s="23" t="s">
        <v>20</v>
      </c>
      <c r="P100" s="23">
        <v>262.64</v>
      </c>
      <c r="Q100" s="23" t="s">
        <v>582</v>
      </c>
      <c r="R100" s="23">
        <v>144.45999999999998</v>
      </c>
      <c r="S100" s="23" t="s">
        <v>1131</v>
      </c>
      <c r="T100" s="23">
        <v>45</v>
      </c>
      <c r="U100" s="23" t="s">
        <v>673</v>
      </c>
      <c r="V100" s="24" t="s">
        <v>1134</v>
      </c>
    </row>
    <row r="101" spans="1:22" x14ac:dyDescent="0.3">
      <c r="A101" s="17">
        <v>100</v>
      </c>
      <c r="B101" s="23" t="s">
        <v>1235</v>
      </c>
      <c r="C101" s="23" t="s">
        <v>1237</v>
      </c>
      <c r="D101" s="7">
        <v>2.8</v>
      </c>
      <c r="E101" s="23" t="s">
        <v>1105</v>
      </c>
      <c r="F101" s="7">
        <v>43</v>
      </c>
      <c r="G101" s="6" t="s">
        <v>1105</v>
      </c>
      <c r="H101" s="23" t="s">
        <v>1129</v>
      </c>
      <c r="I101" s="23" t="s">
        <v>13</v>
      </c>
      <c r="J101" s="7">
        <v>9583.34</v>
      </c>
      <c r="K101" s="23" t="s">
        <v>753</v>
      </c>
      <c r="L101" s="23" t="s">
        <v>712</v>
      </c>
      <c r="M101" s="23" t="s">
        <v>13</v>
      </c>
      <c r="N101" s="23" t="s">
        <v>13</v>
      </c>
      <c r="O101" s="23" t="s">
        <v>20</v>
      </c>
      <c r="P101" s="23">
        <v>378.25</v>
      </c>
      <c r="Q101" s="23" t="s">
        <v>582</v>
      </c>
      <c r="R101" s="23">
        <v>264.77999999999997</v>
      </c>
      <c r="S101" s="23" t="s">
        <v>1131</v>
      </c>
      <c r="T101" s="23">
        <v>75</v>
      </c>
      <c r="U101" s="23" t="s">
        <v>673</v>
      </c>
      <c r="V101" s="24" t="s">
        <v>1134</v>
      </c>
    </row>
    <row r="102" spans="1:22" x14ac:dyDescent="0.3">
      <c r="A102" s="17">
        <v>101</v>
      </c>
      <c r="B102" s="23" t="s">
        <v>1235</v>
      </c>
      <c r="C102" s="23" t="s">
        <v>1238</v>
      </c>
      <c r="D102" s="7">
        <v>3</v>
      </c>
      <c r="E102" s="23" t="s">
        <v>1105</v>
      </c>
      <c r="F102" s="7">
        <v>50</v>
      </c>
      <c r="G102" s="6" t="s">
        <v>1105</v>
      </c>
      <c r="H102" s="23" t="s">
        <v>1129</v>
      </c>
      <c r="I102" s="23" t="s">
        <v>13</v>
      </c>
      <c r="J102" s="7">
        <v>10416.67</v>
      </c>
      <c r="K102" s="23" t="s">
        <v>753</v>
      </c>
      <c r="L102" s="23" t="s">
        <v>712</v>
      </c>
      <c r="M102" s="23" t="s">
        <v>13</v>
      </c>
      <c r="N102" s="23" t="s">
        <v>13</v>
      </c>
      <c r="O102" s="23" t="s">
        <v>20</v>
      </c>
      <c r="P102" s="23">
        <v>471.24</v>
      </c>
      <c r="Q102" s="23" t="s">
        <v>582</v>
      </c>
      <c r="R102" s="23">
        <v>353.43</v>
      </c>
      <c r="S102" s="23" t="s">
        <v>1131</v>
      </c>
      <c r="T102" s="23">
        <v>90</v>
      </c>
      <c r="U102" s="23" t="s">
        <v>673</v>
      </c>
      <c r="V102" s="24" t="s">
        <v>1134</v>
      </c>
    </row>
    <row r="103" spans="1:22" x14ac:dyDescent="0.3">
      <c r="A103" s="17">
        <v>102</v>
      </c>
      <c r="B103" s="23" t="s">
        <v>1235</v>
      </c>
      <c r="C103" s="23" t="s">
        <v>1239</v>
      </c>
      <c r="D103" s="7">
        <v>3.2</v>
      </c>
      <c r="E103" s="23" t="s">
        <v>1105</v>
      </c>
      <c r="F103" s="7">
        <v>50</v>
      </c>
      <c r="G103" s="6" t="s">
        <v>1105</v>
      </c>
      <c r="H103" s="23" t="s">
        <v>1129</v>
      </c>
      <c r="I103" s="23" t="s">
        <v>13</v>
      </c>
      <c r="J103" s="7">
        <v>12500</v>
      </c>
      <c r="K103" s="23" t="s">
        <v>753</v>
      </c>
      <c r="L103" s="23" t="s">
        <v>712</v>
      </c>
      <c r="M103" s="23" t="s">
        <v>13</v>
      </c>
      <c r="N103" s="23" t="s">
        <v>13</v>
      </c>
      <c r="O103" s="23" t="s">
        <v>20</v>
      </c>
      <c r="P103" s="23">
        <v>502.65999999999997</v>
      </c>
      <c r="Q103" s="23" t="s">
        <v>582</v>
      </c>
      <c r="R103" s="23">
        <v>402.13</v>
      </c>
      <c r="S103" s="23" t="s">
        <v>1131</v>
      </c>
      <c r="T103" s="23">
        <v>132</v>
      </c>
      <c r="U103" s="23" t="s">
        <v>673</v>
      </c>
      <c r="V103" s="24" t="s">
        <v>1134</v>
      </c>
    </row>
    <row r="104" spans="1:22" x14ac:dyDescent="0.3">
      <c r="A104" s="17">
        <v>103</v>
      </c>
      <c r="B104" s="23" t="s">
        <v>1235</v>
      </c>
      <c r="C104" s="23" t="s">
        <v>1240</v>
      </c>
      <c r="D104" s="7">
        <v>3.6</v>
      </c>
      <c r="E104" s="23" t="s">
        <v>1105</v>
      </c>
      <c r="F104" s="7">
        <v>55</v>
      </c>
      <c r="G104" s="6" t="s">
        <v>1105</v>
      </c>
      <c r="H104" s="23" t="s">
        <v>1129</v>
      </c>
      <c r="I104" s="23" t="s">
        <v>13</v>
      </c>
      <c r="J104" s="7">
        <v>18750</v>
      </c>
      <c r="K104" s="23" t="s">
        <v>753</v>
      </c>
      <c r="L104" s="23" t="s">
        <v>712</v>
      </c>
      <c r="M104" s="23" t="s">
        <v>13</v>
      </c>
      <c r="N104" s="23" t="s">
        <v>13</v>
      </c>
      <c r="O104" s="23" t="s">
        <v>20</v>
      </c>
      <c r="P104" s="23">
        <v>622.04</v>
      </c>
      <c r="Q104" s="23" t="s">
        <v>582</v>
      </c>
      <c r="R104" s="23">
        <v>559.84</v>
      </c>
      <c r="S104" s="23" t="s">
        <v>1131</v>
      </c>
      <c r="T104" s="23">
        <v>160</v>
      </c>
      <c r="U104" s="23" t="s">
        <v>673</v>
      </c>
      <c r="V104" s="24" t="s">
        <v>1134</v>
      </c>
    </row>
    <row r="105" spans="1:22" x14ac:dyDescent="0.3">
      <c r="A105" s="17">
        <v>104</v>
      </c>
      <c r="B105" s="23" t="s">
        <v>1235</v>
      </c>
      <c r="C105" s="23" t="s">
        <v>1241</v>
      </c>
      <c r="D105" s="7">
        <v>3.8</v>
      </c>
      <c r="E105" s="23" t="s">
        <v>1105</v>
      </c>
      <c r="F105" s="7">
        <v>58</v>
      </c>
      <c r="G105" s="6" t="s">
        <v>1105</v>
      </c>
      <c r="H105" s="23" t="s">
        <v>1129</v>
      </c>
      <c r="I105" s="23" t="s">
        <v>13</v>
      </c>
      <c r="J105" s="7">
        <v>22916.67</v>
      </c>
      <c r="K105" s="23" t="s">
        <v>753</v>
      </c>
      <c r="L105" s="23" t="s">
        <v>712</v>
      </c>
      <c r="M105" s="23" t="s">
        <v>13</v>
      </c>
      <c r="N105" s="23" t="s">
        <v>13</v>
      </c>
      <c r="O105" s="23" t="s">
        <v>20</v>
      </c>
      <c r="P105" s="23">
        <v>692.41</v>
      </c>
      <c r="Q105" s="23" t="s">
        <v>582</v>
      </c>
      <c r="R105" s="23">
        <v>657.79</v>
      </c>
      <c r="S105" s="23" t="s">
        <v>1131</v>
      </c>
      <c r="T105" s="23">
        <v>185</v>
      </c>
      <c r="U105" s="23" t="s">
        <v>673</v>
      </c>
      <c r="V105" s="24" t="s">
        <v>1134</v>
      </c>
    </row>
    <row r="106" spans="1:22" x14ac:dyDescent="0.3">
      <c r="A106" s="17">
        <v>105</v>
      </c>
      <c r="B106" s="23" t="s">
        <v>1235</v>
      </c>
      <c r="C106" s="23" t="s">
        <v>1242</v>
      </c>
      <c r="D106" s="7">
        <v>4</v>
      </c>
      <c r="E106" s="23" t="s">
        <v>1105</v>
      </c>
      <c r="F106" s="7">
        <v>60</v>
      </c>
      <c r="G106" s="6" t="s">
        <v>1105</v>
      </c>
      <c r="H106" s="23" t="s">
        <v>1129</v>
      </c>
      <c r="I106" s="23" t="s">
        <v>13</v>
      </c>
      <c r="J106" s="7">
        <v>29166.67</v>
      </c>
      <c r="K106" s="23" t="s">
        <v>753</v>
      </c>
      <c r="L106" s="23" t="s">
        <v>712</v>
      </c>
      <c r="M106" s="23" t="s">
        <v>13</v>
      </c>
      <c r="N106" s="23" t="s">
        <v>13</v>
      </c>
      <c r="O106" s="23" t="s">
        <v>20</v>
      </c>
      <c r="P106" s="23">
        <v>753.99</v>
      </c>
      <c r="Q106" s="23" t="s">
        <v>582</v>
      </c>
      <c r="R106" s="23">
        <v>753.99</v>
      </c>
      <c r="S106" s="23" t="s">
        <v>1131</v>
      </c>
      <c r="T106" s="23">
        <v>200</v>
      </c>
      <c r="U106" s="23" t="s">
        <v>673</v>
      </c>
      <c r="V106" s="24" t="s">
        <v>1134</v>
      </c>
    </row>
    <row r="107" spans="1:22" x14ac:dyDescent="0.3">
      <c r="A107" s="17">
        <v>106</v>
      </c>
      <c r="B107" s="23" t="s">
        <v>1243</v>
      </c>
      <c r="C107" s="23" t="s">
        <v>1244</v>
      </c>
      <c r="D107" s="7">
        <v>1.6</v>
      </c>
      <c r="E107" s="23" t="s">
        <v>1105</v>
      </c>
      <c r="F107" s="7">
        <v>32</v>
      </c>
      <c r="G107" s="6" t="s">
        <v>1105</v>
      </c>
      <c r="H107" s="23" t="s">
        <v>1129</v>
      </c>
      <c r="I107" s="23" t="s">
        <v>13</v>
      </c>
      <c r="J107" s="7">
        <v>2000</v>
      </c>
      <c r="K107" s="23" t="s">
        <v>753</v>
      </c>
      <c r="L107" s="23" t="s">
        <v>712</v>
      </c>
      <c r="M107" s="23" t="s">
        <v>13</v>
      </c>
      <c r="N107" s="23" t="s">
        <v>13</v>
      </c>
      <c r="O107" s="23" t="s">
        <v>20</v>
      </c>
      <c r="P107" s="23">
        <v>160.85</v>
      </c>
      <c r="Q107" s="23" t="s">
        <v>582</v>
      </c>
      <c r="R107" s="23">
        <v>64.34</v>
      </c>
      <c r="S107" s="23" t="s">
        <v>1131</v>
      </c>
      <c r="T107" s="23">
        <v>18.5</v>
      </c>
      <c r="U107" s="23" t="s">
        <v>673</v>
      </c>
      <c r="V107" s="24" t="s">
        <v>1134</v>
      </c>
    </row>
    <row r="108" spans="1:22" x14ac:dyDescent="0.3">
      <c r="A108" s="17">
        <v>107</v>
      </c>
      <c r="B108" s="23" t="s">
        <v>1243</v>
      </c>
      <c r="C108" s="23" t="s">
        <v>1245</v>
      </c>
      <c r="D108" s="7">
        <v>2.5</v>
      </c>
      <c r="E108" s="23" t="s">
        <v>1105</v>
      </c>
      <c r="F108" s="7">
        <v>55</v>
      </c>
      <c r="G108" s="6" t="s">
        <v>1105</v>
      </c>
      <c r="H108" s="23" t="s">
        <v>1129</v>
      </c>
      <c r="I108" s="23" t="s">
        <v>13</v>
      </c>
      <c r="J108" s="7">
        <v>5500</v>
      </c>
      <c r="K108" s="23" t="s">
        <v>753</v>
      </c>
      <c r="L108" s="23" t="s">
        <v>712</v>
      </c>
      <c r="M108" s="23" t="s">
        <v>13</v>
      </c>
      <c r="N108" s="23" t="s">
        <v>13</v>
      </c>
      <c r="O108" s="23" t="s">
        <v>20</v>
      </c>
      <c r="P108" s="23">
        <v>431.96999999999997</v>
      </c>
      <c r="Q108" s="23" t="s">
        <v>582</v>
      </c>
      <c r="R108" s="23">
        <v>269.99</v>
      </c>
      <c r="S108" s="23" t="s">
        <v>1131</v>
      </c>
      <c r="T108" s="23">
        <v>55</v>
      </c>
      <c r="U108" s="23" t="s">
        <v>673</v>
      </c>
      <c r="V108" s="24" t="s">
        <v>1134</v>
      </c>
    </row>
    <row r="109" spans="1:22" x14ac:dyDescent="0.3">
      <c r="A109" s="17">
        <v>108</v>
      </c>
      <c r="B109" s="23" t="s">
        <v>1243</v>
      </c>
      <c r="C109" s="23" t="s">
        <v>1246</v>
      </c>
      <c r="D109" s="7">
        <v>2.8</v>
      </c>
      <c r="E109" s="23" t="s">
        <v>1105</v>
      </c>
      <c r="F109" s="7">
        <v>55</v>
      </c>
      <c r="G109" s="6" t="s">
        <v>1105</v>
      </c>
      <c r="H109" s="23" t="s">
        <v>1129</v>
      </c>
      <c r="I109" s="23" t="s">
        <v>13</v>
      </c>
      <c r="J109" s="7">
        <v>6500</v>
      </c>
      <c r="K109" s="23" t="s">
        <v>753</v>
      </c>
      <c r="L109" s="23" t="s">
        <v>712</v>
      </c>
      <c r="M109" s="23" t="s">
        <v>13</v>
      </c>
      <c r="N109" s="23" t="s">
        <v>13</v>
      </c>
      <c r="O109" s="23" t="s">
        <v>20</v>
      </c>
      <c r="P109" s="23">
        <v>483.81</v>
      </c>
      <c r="Q109" s="23" t="s">
        <v>582</v>
      </c>
      <c r="R109" s="23">
        <v>338.67</v>
      </c>
      <c r="S109" s="23" t="s">
        <v>1131</v>
      </c>
      <c r="T109" s="23">
        <v>75</v>
      </c>
      <c r="U109" s="23" t="s">
        <v>673</v>
      </c>
      <c r="V109" s="24" t="s">
        <v>1134</v>
      </c>
    </row>
    <row r="110" spans="1:22" x14ac:dyDescent="0.3">
      <c r="A110" s="17">
        <v>109</v>
      </c>
      <c r="B110" s="23" t="s">
        <v>1243</v>
      </c>
      <c r="C110" s="23" t="s">
        <v>1247</v>
      </c>
      <c r="D110" s="7">
        <v>3</v>
      </c>
      <c r="E110" s="23" t="s">
        <v>1105</v>
      </c>
      <c r="F110" s="7">
        <v>60</v>
      </c>
      <c r="G110" s="6" t="s">
        <v>1105</v>
      </c>
      <c r="H110" s="23" t="s">
        <v>1129</v>
      </c>
      <c r="I110" s="23" t="s">
        <v>13</v>
      </c>
      <c r="J110" s="7">
        <v>8000</v>
      </c>
      <c r="K110" s="23" t="s">
        <v>753</v>
      </c>
      <c r="L110" s="23" t="s">
        <v>712</v>
      </c>
      <c r="M110" s="23" t="s">
        <v>13</v>
      </c>
      <c r="N110" s="23" t="s">
        <v>13</v>
      </c>
      <c r="O110" s="23" t="s">
        <v>20</v>
      </c>
      <c r="P110" s="23">
        <v>565.49</v>
      </c>
      <c r="Q110" s="23" t="s">
        <v>582</v>
      </c>
      <c r="R110" s="23">
        <v>424.12</v>
      </c>
      <c r="S110" s="23" t="s">
        <v>1131</v>
      </c>
      <c r="T110" s="23">
        <v>125</v>
      </c>
      <c r="U110" s="23" t="s">
        <v>673</v>
      </c>
      <c r="V110" s="24" t="s">
        <v>1134</v>
      </c>
    </row>
    <row r="111" spans="1:22" x14ac:dyDescent="0.3">
      <c r="A111" s="17">
        <v>110</v>
      </c>
      <c r="B111" s="23" t="s">
        <v>1243</v>
      </c>
      <c r="C111" s="23" t="s">
        <v>1248</v>
      </c>
      <c r="D111" s="7">
        <v>3.2</v>
      </c>
      <c r="E111" s="23" t="s">
        <v>1105</v>
      </c>
      <c r="F111" s="7">
        <v>64</v>
      </c>
      <c r="G111" s="6" t="s">
        <v>1105</v>
      </c>
      <c r="H111" s="23" t="s">
        <v>1129</v>
      </c>
      <c r="I111" s="23" t="s">
        <v>13</v>
      </c>
      <c r="J111" s="7">
        <v>9000</v>
      </c>
      <c r="K111" s="23" t="s">
        <v>753</v>
      </c>
      <c r="L111" s="23" t="s">
        <v>712</v>
      </c>
      <c r="M111" s="23" t="s">
        <v>13</v>
      </c>
      <c r="N111" s="23" t="s">
        <v>13</v>
      </c>
      <c r="O111" s="23" t="s">
        <v>20</v>
      </c>
      <c r="P111" s="23">
        <v>643.4</v>
      </c>
      <c r="Q111" s="23" t="s">
        <v>582</v>
      </c>
      <c r="R111" s="23">
        <v>514.72</v>
      </c>
      <c r="S111" s="23" t="s">
        <v>1131</v>
      </c>
      <c r="T111" s="23">
        <v>190</v>
      </c>
      <c r="U111" s="23" t="s">
        <v>673</v>
      </c>
      <c r="V111" s="24" t="s">
        <v>1134</v>
      </c>
    </row>
    <row r="112" spans="1:22" x14ac:dyDescent="0.3">
      <c r="A112" s="17">
        <v>111</v>
      </c>
      <c r="B112" s="23" t="s">
        <v>1243</v>
      </c>
      <c r="C112" s="23" t="s">
        <v>1249</v>
      </c>
      <c r="D112" s="7">
        <v>4</v>
      </c>
      <c r="E112" s="23" t="s">
        <v>1105</v>
      </c>
      <c r="F112" s="7">
        <v>80</v>
      </c>
      <c r="G112" s="6" t="s">
        <v>1105</v>
      </c>
      <c r="H112" s="23" t="s">
        <v>1129</v>
      </c>
      <c r="I112" s="23" t="s">
        <v>13</v>
      </c>
      <c r="J112" s="7">
        <v>18000</v>
      </c>
      <c r="K112" s="23" t="s">
        <v>753</v>
      </c>
      <c r="L112" s="23" t="s">
        <v>712</v>
      </c>
      <c r="M112" s="23" t="s">
        <v>13</v>
      </c>
      <c r="N112" s="23" t="s">
        <v>13</v>
      </c>
      <c r="O112" s="23" t="s">
        <v>20</v>
      </c>
      <c r="P112" s="23">
        <v>1005.31</v>
      </c>
      <c r="Q112" s="23" t="s">
        <v>582</v>
      </c>
      <c r="R112" s="23">
        <v>1005.31</v>
      </c>
      <c r="S112" s="23" t="s">
        <v>1131</v>
      </c>
      <c r="T112" s="23">
        <v>355</v>
      </c>
      <c r="U112" s="23" t="s">
        <v>673</v>
      </c>
      <c r="V112" s="24" t="s">
        <v>1134</v>
      </c>
    </row>
    <row r="113" spans="1:22" x14ac:dyDescent="0.3">
      <c r="A113" s="17">
        <v>112</v>
      </c>
      <c r="B113" s="23" t="s">
        <v>1250</v>
      </c>
      <c r="C113" s="23" t="s">
        <v>1251</v>
      </c>
      <c r="D113" s="7">
        <v>1.2</v>
      </c>
      <c r="E113" s="23" t="s">
        <v>1105</v>
      </c>
      <c r="F113" s="7">
        <v>25</v>
      </c>
      <c r="G113" s="6" t="s">
        <v>1105</v>
      </c>
      <c r="H113" s="23" t="s">
        <v>1129</v>
      </c>
      <c r="I113" s="23" t="s">
        <v>13</v>
      </c>
      <c r="J113" s="7">
        <v>1500</v>
      </c>
      <c r="K113" s="23" t="s">
        <v>753</v>
      </c>
      <c r="L113" s="23" t="s">
        <v>712</v>
      </c>
      <c r="M113" s="23" t="s">
        <v>13</v>
      </c>
      <c r="N113" s="23" t="s">
        <v>13</v>
      </c>
      <c r="O113" s="23" t="s">
        <v>20</v>
      </c>
      <c r="P113" s="23">
        <v>94.25</v>
      </c>
      <c r="Q113" s="23" t="s">
        <v>582</v>
      </c>
      <c r="R113" s="23">
        <v>28.28</v>
      </c>
      <c r="S113" s="23" t="s">
        <v>1131</v>
      </c>
      <c r="T113" s="23">
        <v>22</v>
      </c>
      <c r="U113" s="23" t="s">
        <v>673</v>
      </c>
      <c r="V113" s="24" t="s">
        <v>1134</v>
      </c>
    </row>
    <row r="114" spans="1:22" x14ac:dyDescent="0.3">
      <c r="A114" s="17">
        <v>113</v>
      </c>
      <c r="B114" s="23" t="s">
        <v>1250</v>
      </c>
      <c r="C114" s="23" t="s">
        <v>1252</v>
      </c>
      <c r="D114" s="7">
        <v>1.6</v>
      </c>
      <c r="E114" s="23" t="s">
        <v>1105</v>
      </c>
      <c r="F114" s="7">
        <v>32</v>
      </c>
      <c r="G114" s="6" t="s">
        <v>1105</v>
      </c>
      <c r="H114" s="23" t="s">
        <v>1129</v>
      </c>
      <c r="I114" s="23" t="s">
        <v>13</v>
      </c>
      <c r="J114" s="7">
        <v>2000</v>
      </c>
      <c r="K114" s="23" t="s">
        <v>753</v>
      </c>
      <c r="L114" s="23" t="s">
        <v>712</v>
      </c>
      <c r="M114" s="23" t="s">
        <v>13</v>
      </c>
      <c r="N114" s="23" t="s">
        <v>13</v>
      </c>
      <c r="O114" s="23" t="s">
        <v>20</v>
      </c>
      <c r="P114" s="23">
        <v>160.85</v>
      </c>
      <c r="Q114" s="23" t="s">
        <v>582</v>
      </c>
      <c r="R114" s="23">
        <v>64.34</v>
      </c>
      <c r="S114" s="23" t="s">
        <v>1131</v>
      </c>
      <c r="T114" s="23">
        <v>15</v>
      </c>
      <c r="U114" s="23" t="s">
        <v>673</v>
      </c>
      <c r="V114" s="24" t="s">
        <v>1134</v>
      </c>
    </row>
    <row r="115" spans="1:22" x14ac:dyDescent="0.3">
      <c r="A115" s="17">
        <v>114</v>
      </c>
      <c r="B115" s="23" t="s">
        <v>1250</v>
      </c>
      <c r="C115" s="23" t="s">
        <v>1253</v>
      </c>
      <c r="D115" s="7">
        <v>2.2000000000000002</v>
      </c>
      <c r="E115" s="23" t="s">
        <v>1105</v>
      </c>
      <c r="F115" s="7">
        <v>45</v>
      </c>
      <c r="G115" s="6" t="s">
        <v>1105</v>
      </c>
      <c r="H115" s="23" t="s">
        <v>1129</v>
      </c>
      <c r="I115" s="23" t="s">
        <v>13</v>
      </c>
      <c r="J115" s="7">
        <v>3200</v>
      </c>
      <c r="K115" s="23" t="s">
        <v>753</v>
      </c>
      <c r="L115" s="23" t="s">
        <v>712</v>
      </c>
      <c r="M115" s="23" t="s">
        <v>13</v>
      </c>
      <c r="N115" s="23" t="s">
        <v>13</v>
      </c>
      <c r="O115" s="23" t="s">
        <v>20</v>
      </c>
      <c r="P115" s="23">
        <v>311.02</v>
      </c>
      <c r="Q115" s="23" t="s">
        <v>582</v>
      </c>
      <c r="R115" s="23">
        <v>171.06</v>
      </c>
      <c r="S115" s="23" t="s">
        <v>1131</v>
      </c>
      <c r="T115" s="23">
        <v>30</v>
      </c>
      <c r="U115" s="23" t="s">
        <v>673</v>
      </c>
      <c r="V115" s="24" t="s">
        <v>1134</v>
      </c>
    </row>
    <row r="116" spans="1:22" x14ac:dyDescent="0.3">
      <c r="A116" s="17">
        <v>115</v>
      </c>
      <c r="B116" s="23" t="s">
        <v>1250</v>
      </c>
      <c r="C116" s="23" t="s">
        <v>1254</v>
      </c>
      <c r="D116" s="7">
        <v>2.2000000000000002</v>
      </c>
      <c r="E116" s="23" t="s">
        <v>1105</v>
      </c>
      <c r="F116" s="7">
        <v>50</v>
      </c>
      <c r="G116" s="6" t="s">
        <v>1105</v>
      </c>
      <c r="H116" s="23" t="s">
        <v>1129</v>
      </c>
      <c r="I116" s="23" t="s">
        <v>13</v>
      </c>
      <c r="J116" s="7">
        <v>4000</v>
      </c>
      <c r="K116" s="23" t="s">
        <v>753</v>
      </c>
      <c r="L116" s="23" t="s">
        <v>712</v>
      </c>
      <c r="M116" s="23" t="s">
        <v>13</v>
      </c>
      <c r="N116" s="23" t="s">
        <v>13</v>
      </c>
      <c r="O116" s="23" t="s">
        <v>20</v>
      </c>
      <c r="P116" s="23">
        <v>345.58</v>
      </c>
      <c r="Q116" s="23" t="s">
        <v>582</v>
      </c>
      <c r="R116" s="23">
        <v>190.07</v>
      </c>
      <c r="S116" s="23" t="s">
        <v>1131</v>
      </c>
      <c r="T116" s="23">
        <v>30</v>
      </c>
      <c r="U116" s="23" t="s">
        <v>673</v>
      </c>
      <c r="V116" s="24" t="s">
        <v>1134</v>
      </c>
    </row>
    <row r="117" spans="1:22" x14ac:dyDescent="0.3">
      <c r="A117" s="17">
        <v>116</v>
      </c>
      <c r="B117" s="23" t="s">
        <v>1250</v>
      </c>
      <c r="C117" s="23" t="s">
        <v>1255</v>
      </c>
      <c r="D117" s="7">
        <v>3</v>
      </c>
      <c r="E117" s="23" t="s">
        <v>1105</v>
      </c>
      <c r="F117" s="7">
        <v>48</v>
      </c>
      <c r="G117" s="6" t="s">
        <v>1105</v>
      </c>
      <c r="H117" s="23" t="s">
        <v>1129</v>
      </c>
      <c r="I117" s="23" t="s">
        <v>13</v>
      </c>
      <c r="J117" s="7">
        <v>35000</v>
      </c>
      <c r="K117" s="23" t="s">
        <v>753</v>
      </c>
      <c r="L117" s="23" t="s">
        <v>712</v>
      </c>
      <c r="M117" s="23" t="s">
        <v>13</v>
      </c>
      <c r="N117" s="23" t="s">
        <v>13</v>
      </c>
      <c r="O117" s="23" t="s">
        <v>20</v>
      </c>
      <c r="P117" s="23">
        <v>452.39</v>
      </c>
      <c r="Q117" s="23" t="s">
        <v>582</v>
      </c>
      <c r="R117" s="23">
        <v>339.3</v>
      </c>
      <c r="S117" s="23" t="s">
        <v>1131</v>
      </c>
      <c r="T117" s="23">
        <v>90</v>
      </c>
      <c r="U117" s="23" t="s">
        <v>673</v>
      </c>
      <c r="V117" s="24" t="s">
        <v>1134</v>
      </c>
    </row>
    <row r="118" spans="1:22" x14ac:dyDescent="0.3">
      <c r="A118" s="17">
        <v>117</v>
      </c>
      <c r="B118" s="23" t="s">
        <v>1250</v>
      </c>
      <c r="C118" s="23" t="s">
        <v>1167</v>
      </c>
      <c r="D118" s="7">
        <v>3.2</v>
      </c>
      <c r="E118" s="23" t="s">
        <v>1105</v>
      </c>
      <c r="F118" s="7">
        <v>50</v>
      </c>
      <c r="G118" s="6" t="s">
        <v>1105</v>
      </c>
      <c r="H118" s="23" t="s">
        <v>1129</v>
      </c>
      <c r="I118" s="23" t="s">
        <v>13</v>
      </c>
      <c r="J118" s="7">
        <v>50000</v>
      </c>
      <c r="K118" s="23" t="s">
        <v>753</v>
      </c>
      <c r="L118" s="23" t="s">
        <v>712</v>
      </c>
      <c r="M118" s="23" t="s">
        <v>13</v>
      </c>
      <c r="N118" s="23" t="s">
        <v>13</v>
      </c>
      <c r="O118" s="23" t="s">
        <v>20</v>
      </c>
      <c r="P118" s="23">
        <v>502.65999999999997</v>
      </c>
      <c r="Q118" s="23" t="s">
        <v>582</v>
      </c>
      <c r="R118" s="23">
        <v>402.13</v>
      </c>
      <c r="S118" s="23" t="s">
        <v>1131</v>
      </c>
      <c r="T118" s="23">
        <v>190</v>
      </c>
      <c r="U118" s="23" t="s">
        <v>673</v>
      </c>
      <c r="V118" s="24" t="s">
        <v>1134</v>
      </c>
    </row>
    <row r="119" spans="1:22" x14ac:dyDescent="0.3">
      <c r="A119" s="17">
        <v>118</v>
      </c>
      <c r="B119" s="23" t="s">
        <v>1250</v>
      </c>
      <c r="C119" s="23" t="s">
        <v>1168</v>
      </c>
      <c r="D119" s="7">
        <v>3.3</v>
      </c>
      <c r="E119" s="23" t="s">
        <v>1105</v>
      </c>
      <c r="F119" s="7">
        <v>52</v>
      </c>
      <c r="G119" s="6" t="s">
        <v>1105</v>
      </c>
      <c r="H119" s="23" t="s">
        <v>1129</v>
      </c>
      <c r="I119" s="23" t="s">
        <v>13</v>
      </c>
      <c r="J119" s="7">
        <v>50000</v>
      </c>
      <c r="K119" s="23" t="s">
        <v>753</v>
      </c>
      <c r="L119" s="23" t="s">
        <v>712</v>
      </c>
      <c r="M119" s="23" t="s">
        <v>13</v>
      </c>
      <c r="N119" s="23" t="s">
        <v>13</v>
      </c>
      <c r="O119" s="23" t="s">
        <v>20</v>
      </c>
      <c r="P119" s="23">
        <v>539.1</v>
      </c>
      <c r="Q119" s="23" t="s">
        <v>582</v>
      </c>
      <c r="R119" s="23">
        <v>444.76</v>
      </c>
      <c r="S119" s="23" t="s">
        <v>1131</v>
      </c>
      <c r="T119" s="23">
        <v>190</v>
      </c>
      <c r="U119" s="23" t="s">
        <v>673</v>
      </c>
      <c r="V119" s="24" t="s">
        <v>1134</v>
      </c>
    </row>
    <row r="120" spans="1:22" x14ac:dyDescent="0.3">
      <c r="A120" s="17">
        <v>119</v>
      </c>
      <c r="B120" s="23" t="s">
        <v>1250</v>
      </c>
      <c r="C120" s="23" t="s">
        <v>1171</v>
      </c>
      <c r="D120" s="7">
        <v>4.2</v>
      </c>
      <c r="E120" s="23" t="s">
        <v>1105</v>
      </c>
      <c r="F120" s="7">
        <v>60</v>
      </c>
      <c r="G120" s="6" t="s">
        <v>1105</v>
      </c>
      <c r="H120" s="23" t="s">
        <v>1129</v>
      </c>
      <c r="I120" s="23" t="s">
        <v>13</v>
      </c>
      <c r="J120" s="7">
        <v>116000</v>
      </c>
      <c r="K120" s="23" t="s">
        <v>753</v>
      </c>
      <c r="L120" s="23" t="s">
        <v>712</v>
      </c>
      <c r="M120" s="23" t="s">
        <v>13</v>
      </c>
      <c r="N120" s="23" t="s">
        <v>13</v>
      </c>
      <c r="O120" s="23" t="s">
        <v>20</v>
      </c>
      <c r="P120" s="23">
        <v>791.68999999999994</v>
      </c>
      <c r="Q120" s="23" t="s">
        <v>582</v>
      </c>
      <c r="R120" s="23">
        <v>831.27</v>
      </c>
      <c r="S120" s="23" t="s">
        <v>1131</v>
      </c>
      <c r="T120" s="23">
        <v>420</v>
      </c>
      <c r="U120" s="23" t="s">
        <v>673</v>
      </c>
      <c r="V120" s="24" t="s">
        <v>1134</v>
      </c>
    </row>
    <row r="121" spans="1:22" ht="15" thickBot="1" x14ac:dyDescent="0.35">
      <c r="A121" s="18">
        <v>120</v>
      </c>
      <c r="B121" s="25" t="s">
        <v>1250</v>
      </c>
      <c r="C121" s="25" t="s">
        <v>1201</v>
      </c>
      <c r="D121" s="11">
        <v>4.3</v>
      </c>
      <c r="E121" s="25" t="s">
        <v>1105</v>
      </c>
      <c r="F121" s="11">
        <v>62</v>
      </c>
      <c r="G121" s="10" t="s">
        <v>1105</v>
      </c>
      <c r="H121" s="25" t="s">
        <v>1129</v>
      </c>
      <c r="I121" s="25" t="s">
        <v>13</v>
      </c>
      <c r="J121" s="11">
        <v>125000</v>
      </c>
      <c r="K121" s="25" t="s">
        <v>753</v>
      </c>
      <c r="L121" s="25" t="s">
        <v>712</v>
      </c>
      <c r="M121" s="25" t="s">
        <v>13</v>
      </c>
      <c r="N121" s="25" t="s">
        <v>13</v>
      </c>
      <c r="O121" s="25" t="s">
        <v>20</v>
      </c>
      <c r="P121" s="25">
        <v>837.55</v>
      </c>
      <c r="Q121" s="25" t="s">
        <v>582</v>
      </c>
      <c r="R121" s="25">
        <v>900.37</v>
      </c>
      <c r="S121" s="25" t="s">
        <v>1131</v>
      </c>
      <c r="T121" s="25">
        <v>420</v>
      </c>
      <c r="U121" s="25" t="s">
        <v>673</v>
      </c>
      <c r="V121" s="26" t="s">
        <v>1134</v>
      </c>
    </row>
    <row r="122" spans="1:22" ht="15" thickBot="1" x14ac:dyDescent="0.35"/>
    <row r="123" spans="1:22" x14ac:dyDescent="0.3">
      <c r="A123" s="14" t="s">
        <v>237</v>
      </c>
      <c r="B123" s="54" t="s">
        <v>227</v>
      </c>
      <c r="C123" s="54"/>
      <c r="D123" s="54"/>
      <c r="E123" s="54"/>
      <c r="F123" s="54"/>
      <c r="G123" s="54"/>
      <c r="H123" s="54"/>
      <c r="I123" s="54"/>
      <c r="J123" s="16" t="s">
        <v>236</v>
      </c>
    </row>
    <row r="124" spans="1:22" x14ac:dyDescent="0.3">
      <c r="A124" s="17">
        <v>1</v>
      </c>
      <c r="B124" s="52" t="s">
        <v>228</v>
      </c>
      <c r="C124" s="53"/>
      <c r="D124" s="53"/>
      <c r="E124" s="53"/>
      <c r="F124" s="53"/>
      <c r="G124" s="53"/>
      <c r="H124" s="53"/>
      <c r="I124" s="53"/>
      <c r="J124" s="9">
        <v>1</v>
      </c>
    </row>
    <row r="125" spans="1:22" x14ac:dyDescent="0.3">
      <c r="A125" s="17">
        <v>2</v>
      </c>
      <c r="B125" s="52" t="s">
        <v>1256</v>
      </c>
      <c r="C125" s="53"/>
      <c r="D125" s="53"/>
      <c r="E125" s="53"/>
      <c r="F125" s="53"/>
      <c r="G125" s="53"/>
      <c r="H125" s="53"/>
      <c r="I125" s="53"/>
      <c r="J125" s="9" t="s">
        <v>1257</v>
      </c>
    </row>
    <row r="126" spans="1:22" x14ac:dyDescent="0.3">
      <c r="A126" s="17">
        <v>3</v>
      </c>
      <c r="B126" s="52" t="s">
        <v>1258</v>
      </c>
      <c r="C126" s="53"/>
      <c r="D126" s="53"/>
      <c r="E126" s="53"/>
      <c r="F126" s="53"/>
      <c r="G126" s="53"/>
      <c r="H126" s="53"/>
      <c r="I126" s="53"/>
      <c r="J126" s="9" t="s">
        <v>1259</v>
      </c>
    </row>
    <row r="127" spans="1:22" x14ac:dyDescent="0.3">
      <c r="A127" s="17">
        <v>4</v>
      </c>
      <c r="B127" s="52" t="s">
        <v>1260</v>
      </c>
      <c r="C127" s="53"/>
      <c r="D127" s="53"/>
      <c r="E127" s="53"/>
      <c r="F127" s="53"/>
      <c r="G127" s="53"/>
      <c r="H127" s="53"/>
      <c r="I127" s="53"/>
      <c r="J127" s="9" t="s">
        <v>1261</v>
      </c>
    </row>
    <row r="128" spans="1:22" x14ac:dyDescent="0.3">
      <c r="A128" s="17">
        <v>5</v>
      </c>
      <c r="B128" s="52" t="s">
        <v>1262</v>
      </c>
      <c r="C128" s="53"/>
      <c r="D128" s="53"/>
      <c r="E128" s="53"/>
      <c r="F128" s="53"/>
      <c r="G128" s="53"/>
      <c r="H128" s="53"/>
      <c r="I128" s="53"/>
      <c r="J128" s="9" t="s">
        <v>1263</v>
      </c>
    </row>
    <row r="129" spans="1:10" x14ac:dyDescent="0.3">
      <c r="A129" s="17">
        <v>6</v>
      </c>
      <c r="B129" s="52" t="s">
        <v>1264</v>
      </c>
      <c r="C129" s="53"/>
      <c r="D129" s="53"/>
      <c r="E129" s="53"/>
      <c r="F129" s="53"/>
      <c r="G129" s="53"/>
      <c r="H129" s="53"/>
      <c r="I129" s="53"/>
      <c r="J129" s="9" t="s">
        <v>1265</v>
      </c>
    </row>
    <row r="130" spans="1:10" x14ac:dyDescent="0.3">
      <c r="A130" s="17">
        <v>7</v>
      </c>
      <c r="B130" s="52" t="s">
        <v>1266</v>
      </c>
      <c r="C130" s="53"/>
      <c r="D130" s="53"/>
      <c r="E130" s="53"/>
      <c r="F130" s="53"/>
      <c r="G130" s="53"/>
      <c r="H130" s="53"/>
      <c r="I130" s="53"/>
      <c r="J130" s="9" t="s">
        <v>1267</v>
      </c>
    </row>
    <row r="131" spans="1:10" x14ac:dyDescent="0.3">
      <c r="A131" s="17">
        <v>8</v>
      </c>
      <c r="B131" s="52" t="s">
        <v>1268</v>
      </c>
      <c r="C131" s="53"/>
      <c r="D131" s="53"/>
      <c r="E131" s="53"/>
      <c r="F131" s="53"/>
      <c r="G131" s="53"/>
      <c r="H131" s="53"/>
      <c r="I131" s="53"/>
      <c r="J131" s="9" t="s">
        <v>1269</v>
      </c>
    </row>
    <row r="132" spans="1:10" x14ac:dyDescent="0.3">
      <c r="A132" s="17">
        <v>9</v>
      </c>
      <c r="B132" s="52" t="s">
        <v>1270</v>
      </c>
      <c r="C132" s="53"/>
      <c r="D132" s="53"/>
      <c r="E132" s="53"/>
      <c r="F132" s="53"/>
      <c r="G132" s="53"/>
      <c r="H132" s="53"/>
      <c r="I132" s="53"/>
      <c r="J132" s="9" t="s">
        <v>1271</v>
      </c>
    </row>
    <row r="133" spans="1:10" x14ac:dyDescent="0.3">
      <c r="A133" s="17">
        <v>10</v>
      </c>
      <c r="B133" s="52" t="s">
        <v>1272</v>
      </c>
      <c r="C133" s="53"/>
      <c r="D133" s="53"/>
      <c r="E133" s="53"/>
      <c r="F133" s="53"/>
      <c r="G133" s="53"/>
      <c r="H133" s="53"/>
      <c r="I133" s="53"/>
      <c r="J133" s="9" t="s">
        <v>1273</v>
      </c>
    </row>
    <row r="134" spans="1:10" x14ac:dyDescent="0.3">
      <c r="A134" s="17">
        <v>11</v>
      </c>
      <c r="B134" s="52" t="s">
        <v>1274</v>
      </c>
      <c r="C134" s="53"/>
      <c r="D134" s="53"/>
      <c r="E134" s="53"/>
      <c r="F134" s="53"/>
      <c r="G134" s="53"/>
      <c r="H134" s="53"/>
      <c r="I134" s="53"/>
      <c r="J134" s="9" t="s">
        <v>1275</v>
      </c>
    </row>
    <row r="135" spans="1:10" x14ac:dyDescent="0.3">
      <c r="A135" s="17">
        <v>12</v>
      </c>
      <c r="B135" s="52" t="s">
        <v>1276</v>
      </c>
      <c r="C135" s="53"/>
      <c r="D135" s="53"/>
      <c r="E135" s="53"/>
      <c r="F135" s="53"/>
      <c r="G135" s="53"/>
      <c r="H135" s="53"/>
      <c r="I135" s="53"/>
      <c r="J135" s="9" t="s">
        <v>1277</v>
      </c>
    </row>
    <row r="136" spans="1:10" x14ac:dyDescent="0.3">
      <c r="A136" s="17">
        <v>13</v>
      </c>
      <c r="B136" s="52" t="s">
        <v>1278</v>
      </c>
      <c r="C136" s="53"/>
      <c r="D136" s="53"/>
      <c r="E136" s="53"/>
      <c r="F136" s="53"/>
      <c r="G136" s="53"/>
      <c r="H136" s="53"/>
      <c r="I136" s="53"/>
      <c r="J136" s="9" t="s">
        <v>1279</v>
      </c>
    </row>
    <row r="137" spans="1:10" ht="15" thickBot="1" x14ac:dyDescent="0.35">
      <c r="A137" s="18">
        <v>14</v>
      </c>
      <c r="B137" s="55" t="s">
        <v>1280</v>
      </c>
      <c r="C137" s="56"/>
      <c r="D137" s="56"/>
      <c r="E137" s="56"/>
      <c r="F137" s="56"/>
      <c r="G137" s="56"/>
      <c r="H137" s="56"/>
      <c r="I137" s="56"/>
      <c r="J137" s="13" t="s">
        <v>1281</v>
      </c>
    </row>
  </sheetData>
  <mergeCells count="15">
    <mergeCell ref="B123:I123"/>
    <mergeCell ref="B125:I125"/>
    <mergeCell ref="B124:I124"/>
    <mergeCell ref="B137:I137"/>
    <mergeCell ref="B136:I136"/>
    <mergeCell ref="B135:I135"/>
    <mergeCell ref="B134:I134"/>
    <mergeCell ref="B133:I133"/>
    <mergeCell ref="B132:I132"/>
    <mergeCell ref="B131:I131"/>
    <mergeCell ref="B130:I130"/>
    <mergeCell ref="B129:I129"/>
    <mergeCell ref="B128:I128"/>
    <mergeCell ref="B127:I127"/>
    <mergeCell ref="B126:I126"/>
  </mergeCells>
  <hyperlinks>
    <hyperlink ref="B124" r:id="rId1" xr:uid="{D513C4C1-6786-4DC4-8A45-2CB7A016658E}"/>
    <hyperlink ref="B125" r:id="rId2" xr:uid="{ED0CE611-408E-4A39-A38C-6CD304665926}"/>
    <hyperlink ref="B126" r:id="rId3" xr:uid="{752A1F7D-BCC9-4FF0-983F-F22C156AF415}"/>
    <hyperlink ref="B127" r:id="rId4" xr:uid="{DCCAA4DC-F99B-41BB-9FF9-B7E696C52FC4}"/>
    <hyperlink ref="B128" r:id="rId5" xr:uid="{497C35CE-90D8-4B4F-9D96-715854C19127}"/>
    <hyperlink ref="B129" r:id="rId6" xr:uid="{CED43B31-5893-4010-8A5B-8B7916F4AD25}"/>
    <hyperlink ref="B130" r:id="rId7" xr:uid="{8B947287-9C38-441E-A870-24ED85B32652}"/>
    <hyperlink ref="B131" r:id="rId8" xr:uid="{149C3AAB-3CC8-4686-BEF2-06B217B4A0F0}"/>
    <hyperlink ref="B132" r:id="rId9" xr:uid="{22353C53-1312-40B3-B20C-AC3A11572F73}"/>
    <hyperlink ref="B133" r:id="rId10" xr:uid="{E552F6E2-12AF-4141-8973-7A05F870AE42}"/>
    <hyperlink ref="B134" r:id="rId11" xr:uid="{0A660727-1066-4361-962F-ED3B6CDDB106}"/>
    <hyperlink ref="B135" r:id="rId12" xr:uid="{F9D53375-549F-4D38-BD2B-286E4423E2A3}"/>
    <hyperlink ref="B136" r:id="rId13" xr:uid="{59FD4865-37EF-4E72-B904-CF11BF0CC1F4}"/>
    <hyperlink ref="B137" r:id="rId14" xr:uid="{80FBF8C6-59CC-4642-B85C-B720DECFB7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Agitated Tanks</vt:lpstr>
      <vt:lpstr>Mixers</vt:lpstr>
      <vt:lpstr>Filtration Units</vt:lpstr>
      <vt:lpstr>Dryers</vt:lpstr>
      <vt:lpstr>Rotary Kilns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Amirhossein Mostofifar</dc:creator>
  <cp:lastModifiedBy>Amirhossein Mostofifar</cp:lastModifiedBy>
  <dcterms:created xsi:type="dcterms:W3CDTF">2025-10-31T19:08:56Z</dcterms:created>
  <dcterms:modified xsi:type="dcterms:W3CDTF">2026-07-18T18:42:28Z</dcterms:modified>
</cp:coreProperties>
</file>